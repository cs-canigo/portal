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AquestLlibreDeTreball" defaultThemeVersion="124226"/>
  <bookViews>
    <workbookView xWindow="90" yWindow="6270" windowWidth="19110" windowHeight="1875"/>
  </bookViews>
  <sheets>
    <sheet name="Peticionari" sheetId="10" r:id="rId1"/>
    <sheet name="Caracterització v.3.0.1" sheetId="1" r:id="rId2"/>
    <sheet name="Valors" sheetId="3" state="hidden" r:id="rId3"/>
    <sheet name="Tarifes" sheetId="6" state="hidden" r:id="rId4"/>
    <sheet name="Fitxa x Inventari" sheetId="7" state="hidden" r:id="rId5"/>
    <sheet name="Catàleg de Solucions" sheetId="8" r:id="rId6"/>
    <sheet name="NAQ Solució" sheetId="14" r:id="rId7"/>
    <sheet name="Dades Inventari" sheetId="12" r:id="rId8"/>
  </sheets>
  <externalReferences>
    <externalReference r:id="rId9"/>
    <externalReference r:id="rId10"/>
    <externalReference r:id="rId11"/>
  </externalReferences>
  <definedNames>
    <definedName name="A·1">Valors!$A$214</definedName>
    <definedName name="A·10">Valors!$J$214:$J$215</definedName>
    <definedName name="A·11">Valors!$K$214:$K$215</definedName>
    <definedName name="A·2">Valors!$B$214:$B$216</definedName>
    <definedName name="A·3">Valors!$C$214</definedName>
    <definedName name="A·4">Valors!$D$214:$D$216</definedName>
    <definedName name="A·5">Valors!$E$214:$E$216</definedName>
    <definedName name="A·6">Valors!$F$214:$F$215</definedName>
    <definedName name="A·7">Valors!$G$214:$G$216</definedName>
    <definedName name="A·8">Valors!$H$214:$H$215</definedName>
    <definedName name="A·9">Valors!$I$214</definedName>
    <definedName name="Agrupacio_Funcional">Valors!$C$219:$C$241</definedName>
    <definedName name="_xlnm.Print_Area" localSheetId="1">'Caracterització v.3.0.1'!$A$1:$K$118</definedName>
    <definedName name="_xlnm.Print_Area" localSheetId="6">'NAQ Solució'!$A$1:$J$20</definedName>
    <definedName name="_xlnm.Print_Area" localSheetId="0">Peticionari!$A$1:$K$14</definedName>
    <definedName name="Bloc">Valors!$D$219:$D$241</definedName>
    <definedName name="Llista_Pesos">[1]!Taula2[Pes]</definedName>
    <definedName name="Llista_Tipus_Solucio">[1]!Taula4[Tipus de solució]</definedName>
    <definedName name="Lot">Valors!$A$219:$A$241</definedName>
    <definedName name="Taula_Graus">#REF!</definedName>
    <definedName name="ValorUsuari_TipusSolucio">#REF!</definedName>
  </definedNames>
  <calcPr calcId="145621"/>
</workbook>
</file>

<file path=xl/calcChain.xml><?xml version="1.0" encoding="utf-8"?>
<calcChain xmlns="http://schemas.openxmlformats.org/spreadsheetml/2006/main">
  <c r="CT2" i="12" l="1"/>
  <c r="CS2" i="12"/>
  <c r="CR2" i="12"/>
  <c r="CQ2" i="12"/>
  <c r="CP2" i="12"/>
  <c r="BG2" i="12"/>
  <c r="BF2" i="12"/>
  <c r="BE2" i="12"/>
  <c r="BD2" i="12"/>
  <c r="BC2" i="12"/>
  <c r="BB2" i="12"/>
  <c r="BA2" i="12"/>
  <c r="AZ2" i="12"/>
  <c r="AX2" i="12"/>
  <c r="AW2" i="12"/>
  <c r="AV2" i="12"/>
  <c r="AU2" i="12"/>
  <c r="AT2" i="12"/>
  <c r="AS2" i="12"/>
  <c r="AR2" i="12"/>
  <c r="AQ2" i="12"/>
  <c r="AP2" i="12"/>
  <c r="AO2" i="12"/>
  <c r="AN2" i="12"/>
  <c r="AM2" i="12"/>
  <c r="AL2" i="12"/>
  <c r="AK2" i="12"/>
  <c r="AJ2" i="12"/>
  <c r="AI2" i="12"/>
  <c r="AH2" i="12"/>
  <c r="AG2" i="12"/>
  <c r="AF2" i="12"/>
  <c r="AE2" i="12"/>
  <c r="AD2" i="12"/>
  <c r="AB2" i="12"/>
  <c r="X2" i="12"/>
  <c r="W2" i="12"/>
  <c r="V2" i="12"/>
  <c r="U2" i="12"/>
  <c r="T2" i="12"/>
  <c r="S2" i="12"/>
  <c r="R2" i="12"/>
  <c r="Q2" i="12"/>
  <c r="O2" i="12"/>
  <c r="N2" i="12"/>
  <c r="M2" i="12"/>
  <c r="K2" i="12"/>
  <c r="J2" i="12"/>
  <c r="I2" i="12"/>
  <c r="H2" i="12"/>
  <c r="G2" i="12"/>
  <c r="D2" i="12"/>
  <c r="C2" i="12"/>
  <c r="J12" i="14"/>
  <c r="I12" i="14"/>
  <c r="J11" i="14"/>
  <c r="I11" i="14"/>
  <c r="J10" i="14"/>
  <c r="I10" i="14"/>
  <c r="J9" i="14"/>
  <c r="I9" i="14"/>
  <c r="J8" i="14"/>
  <c r="I8" i="14"/>
  <c r="J7" i="14"/>
  <c r="I7" i="14"/>
  <c r="I13" i="14" s="1"/>
  <c r="G2" i="14" s="1"/>
  <c r="C4" i="14"/>
  <c r="C3" i="14"/>
  <c r="C2" i="14"/>
  <c r="C1" i="14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110" i="8"/>
  <c r="H109" i="8"/>
  <c r="H108" i="8"/>
  <c r="H107" i="8"/>
  <c r="H106" i="8"/>
  <c r="H105" i="8"/>
  <c r="H104" i="8"/>
  <c r="H103" i="8"/>
  <c r="H102" i="8"/>
  <c r="H101" i="8"/>
  <c r="H100" i="8"/>
  <c r="H99" i="8"/>
  <c r="H98" i="8"/>
  <c r="H97" i="8"/>
  <c r="H96" i="8"/>
  <c r="H95" i="8"/>
  <c r="H94" i="8"/>
  <c r="H93" i="8"/>
  <c r="H92" i="8"/>
  <c r="H91" i="8"/>
  <c r="H90" i="8"/>
  <c r="H89" i="8"/>
  <c r="H88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54" i="8"/>
  <c r="H53" i="8"/>
  <c r="H52" i="8"/>
  <c r="H51" i="8"/>
  <c r="H50" i="8"/>
  <c r="H49" i="8"/>
  <c r="H48" i="8"/>
  <c r="H47" i="8"/>
  <c r="H46" i="8"/>
  <c r="H45" i="8"/>
  <c r="H44" i="8"/>
  <c r="H43" i="8"/>
  <c r="H42" i="8"/>
  <c r="H41" i="8"/>
  <c r="H40" i="8"/>
  <c r="H39" i="8"/>
  <c r="H38" i="8"/>
  <c r="H37" i="8"/>
  <c r="H36" i="8"/>
  <c r="H35" i="8"/>
  <c r="H34" i="8"/>
  <c r="H33" i="8"/>
  <c r="H32" i="8"/>
  <c r="H31" i="8"/>
  <c r="H30" i="8"/>
  <c r="H29" i="8"/>
  <c r="H28" i="8"/>
  <c r="H27" i="8"/>
  <c r="H26" i="8"/>
  <c r="H25" i="8"/>
  <c r="H24" i="8"/>
  <c r="H23" i="8"/>
  <c r="H22" i="8"/>
  <c r="H21" i="8"/>
  <c r="H20" i="8"/>
  <c r="H19" i="8"/>
  <c r="H18" i="8"/>
  <c r="H17" i="8"/>
  <c r="H16" i="8"/>
  <c r="H15" i="8"/>
  <c r="H14" i="8"/>
  <c r="H13" i="8"/>
  <c r="H12" i="8"/>
  <c r="H11" i="8"/>
  <c r="H10" i="8"/>
  <c r="H9" i="8"/>
  <c r="H8" i="8"/>
  <c r="H7" i="8"/>
  <c r="H6" i="8"/>
  <c r="H5" i="8"/>
  <c r="H4" i="8"/>
  <c r="H3" i="8"/>
  <c r="H2" i="8"/>
  <c r="CQ2" i="7"/>
  <c r="CP2" i="7"/>
  <c r="CD2" i="7"/>
  <c r="CC2" i="7"/>
  <c r="BP2" i="7"/>
  <c r="BM2" i="7"/>
  <c r="BL2" i="7"/>
  <c r="BK2" i="7"/>
  <c r="BJ2" i="7"/>
  <c r="BI2" i="7"/>
  <c r="BH2" i="7"/>
  <c r="BG2" i="7"/>
  <c r="BF2" i="7"/>
  <c r="BE2" i="7"/>
  <c r="BD2" i="7"/>
  <c r="BC2" i="7"/>
  <c r="BB2" i="7"/>
  <c r="BA2" i="7"/>
  <c r="AZ2" i="7"/>
  <c r="AY2" i="7"/>
  <c r="AX2" i="7"/>
  <c r="AW2" i="7"/>
  <c r="AV2" i="7"/>
  <c r="AU2" i="7"/>
  <c r="AT2" i="7"/>
  <c r="AS2" i="7"/>
  <c r="AR2" i="7"/>
  <c r="AC2" i="7"/>
  <c r="AB2" i="7"/>
  <c r="AA2" i="7"/>
  <c r="Z2" i="7"/>
  <c r="Y2" i="7"/>
  <c r="V2" i="7"/>
  <c r="U2" i="7"/>
  <c r="T2" i="7"/>
  <c r="S2" i="7"/>
  <c r="R2" i="7"/>
  <c r="Q2" i="7"/>
  <c r="P2" i="7"/>
  <c r="O2" i="7"/>
  <c r="N2" i="7"/>
  <c r="L2" i="7"/>
  <c r="K2" i="7"/>
  <c r="H2" i="7"/>
  <c r="G2" i="7"/>
  <c r="F2" i="7"/>
  <c r="E2" i="7"/>
  <c r="B2" i="7"/>
  <c r="A2" i="7"/>
  <c r="K106" i="1"/>
  <c r="J106" i="1"/>
  <c r="K53" i="1" a="1"/>
  <c r="K53" i="1" s="1"/>
  <c r="AC2" i="12" s="1"/>
  <c r="F51" i="1"/>
  <c r="E51" i="1"/>
  <c r="Z2" i="12" s="1"/>
  <c r="E50" i="1"/>
  <c r="AA2" i="12" s="1"/>
  <c r="F46" i="1"/>
  <c r="BN2" i="7" s="1"/>
  <c r="E30" i="1"/>
  <c r="AY2" i="12" s="1"/>
  <c r="E3" i="1"/>
  <c r="E2" i="12" s="1"/>
  <c r="C2" i="7" l="1"/>
  <c r="CG2" i="7"/>
  <c r="Y2" i="12"/>
  <c r="BQ2" i="7"/>
</calcChain>
</file>

<file path=xl/comments1.xml><?xml version="1.0" encoding="utf-8"?>
<comments xmlns="http://schemas.openxmlformats.org/spreadsheetml/2006/main">
  <authors>
    <author>Xavier Escudero Sabadell</author>
  </authors>
  <commentList>
    <comment ref="G3" authorId="0">
      <text>
        <r>
          <rPr>
            <b/>
            <sz val="9"/>
            <color indexed="81"/>
            <rFont val="Tahoma"/>
            <family val="2"/>
          </rPr>
          <t>qualitat.solucions@gencat.cat:</t>
        </r>
        <r>
          <rPr>
            <sz val="9"/>
            <color indexed="81"/>
            <rFont val="Tahoma"/>
            <family val="2"/>
          </rPr>
          <t xml:space="preserve">
Escollir de la llista el valor final del NAQ, i justificar el perquè de la seva sel·lecció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qualitat.solucions@gencat.cat:</t>
        </r>
        <r>
          <rPr>
            <sz val="9"/>
            <color indexed="81"/>
            <rFont val="Tahoma"/>
            <family val="2"/>
          </rPr>
          <t xml:space="preserve">
El càlcul final té en compte el màxim entre el sumatori ponderat dels diferents criteris i els valors assignats als criteris determinants. És a dir, si per exemple un criteri determinant té un 3, tot i que el sumatori ponderat de tots els criteris doni un 1,3, s'agafaria un 3.</t>
        </r>
      </text>
    </comment>
    <comment ref="H6" authorId="0">
      <text>
        <r>
          <rPr>
            <b/>
            <sz val="9"/>
            <color indexed="81"/>
            <rFont val="Tahoma"/>
            <family val="2"/>
          </rPr>
          <t>qualitat.solucions@gencat.cat:</t>
        </r>
        <r>
          <rPr>
            <sz val="9"/>
            <color indexed="81"/>
            <rFont val="Tahoma"/>
            <family val="2"/>
          </rPr>
          <t xml:space="preserve">
Afegir si és necessari una justificació del perquè s'ha sel·leccionat el valor assignat</t>
        </r>
      </text>
    </comment>
  </commentList>
</comments>
</file>

<file path=xl/sharedStrings.xml><?xml version="1.0" encoding="utf-8"?>
<sst xmlns="http://schemas.openxmlformats.org/spreadsheetml/2006/main" count="1590" uniqueCount="844">
  <si>
    <t>Departament</t>
  </si>
  <si>
    <t>Unitat / Ens</t>
  </si>
  <si>
    <t>Descripció del projecte</t>
  </si>
  <si>
    <t>És projecte d'una nova aplicació o d'una aplicació existent?</t>
  </si>
  <si>
    <t>Infraestructures - CPD</t>
  </si>
  <si>
    <t>Nom de l'aplicació</t>
  </si>
  <si>
    <t>Cal nova infraestructura de CPD?</t>
  </si>
  <si>
    <t>Codi Aplicació</t>
  </si>
  <si>
    <t>Informació general del projecte</t>
  </si>
  <si>
    <t>Aplicació</t>
  </si>
  <si>
    <t>Llenguatge principal</t>
  </si>
  <si>
    <t>Gestor Documental</t>
  </si>
  <si>
    <t>Plataforma</t>
  </si>
  <si>
    <t>Integració amb GICAR? (Autenticació)</t>
  </si>
  <si>
    <t>Integració amb GICAR? (Provisió)</t>
  </si>
  <si>
    <t>Altres integracions</t>
  </si>
  <si>
    <t>Criticitat percebuda per l'usuari</t>
  </si>
  <si>
    <t>Estabilitat de l'aplicació</t>
  </si>
  <si>
    <t>Estacionalitat d'ús</t>
  </si>
  <si>
    <t>Roadmap</t>
  </si>
  <si>
    <t>Disponibilitat del codi font actualitzat</t>
  </si>
  <si>
    <t>Complexitat funcional percebuda per l'usuari</t>
  </si>
  <si>
    <t>Complexitat tècnica percebuda per l'usuari</t>
  </si>
  <si>
    <t>Suport explotació / Administració aplicació</t>
  </si>
  <si>
    <t>Nivell servei suport</t>
  </si>
  <si>
    <t>Horari habitual d'ús de l'Aplicació</t>
  </si>
  <si>
    <t>Servei de Manteniment (horari d'atenció d'incidències)</t>
  </si>
  <si>
    <t>RTO, Temps màxim tolerable d'indisponibilitat del Servei (Apl + Infraestr + Servidor + BBDD)</t>
  </si>
  <si>
    <t>Criticitat tècnica</t>
  </si>
  <si>
    <t>Número de registres anuals gestionats</t>
  </si>
  <si>
    <t>Agrupació tecnologia</t>
  </si>
  <si>
    <t>Mòduls</t>
  </si>
  <si>
    <t>Tipus de llicència</t>
  </si>
  <si>
    <t>Unitats</t>
  </si>
  <si>
    <t>Mecanisme aprovisionament</t>
  </si>
  <si>
    <t>Proveïdor del desenvolupament</t>
  </si>
  <si>
    <t>AAM</t>
  </si>
  <si>
    <t>EMO</t>
  </si>
  <si>
    <t>ECO</t>
  </si>
  <si>
    <t>BSF</t>
  </si>
  <si>
    <t>PRE</t>
  </si>
  <si>
    <t>TES</t>
  </si>
  <si>
    <t>GRI</t>
  </si>
  <si>
    <t>CLT</t>
  </si>
  <si>
    <t>INT</t>
  </si>
  <si>
    <t>ENS</t>
  </si>
  <si>
    <t>SLT</t>
  </si>
  <si>
    <t>JUS</t>
  </si>
  <si>
    <t>Departament de la Presidència</t>
  </si>
  <si>
    <t>Departament de Governació i Relacions Institucionals</t>
  </si>
  <si>
    <t>Departament d'Economia i Coneixement</t>
  </si>
  <si>
    <t>Departament d'Ensenyament</t>
  </si>
  <si>
    <t>Departament de Salut</t>
  </si>
  <si>
    <t>Departament d'Interior</t>
  </si>
  <si>
    <t>Departament de Territori i Sostenibilitat</t>
  </si>
  <si>
    <t>Departament de Cultura</t>
  </si>
  <si>
    <t>Departament d'Agricultura, Ramaderia, Pesca, Alimentació i Medi Natural</t>
  </si>
  <si>
    <t>Departament de Benestar Social i Família</t>
  </si>
  <si>
    <t>Departament d'Empresa i Ocupació</t>
  </si>
  <si>
    <t>Departament de Justícia</t>
  </si>
  <si>
    <t>Previsió data posada en producció</t>
  </si>
  <si>
    <t>Llenguatge secundari</t>
  </si>
  <si>
    <t>Nova Aplicació</t>
  </si>
  <si>
    <t>Aplicació existent</t>
  </si>
  <si>
    <t>Codi diàleg</t>
  </si>
  <si>
    <t>Sí</t>
  </si>
  <si>
    <t>No</t>
  </si>
  <si>
    <t>Tècnic</t>
  </si>
  <si>
    <t>Funcional</t>
  </si>
  <si>
    <t>Tècnico-Funcional</t>
  </si>
  <si>
    <t>T1: de 0 a 5</t>
  </si>
  <si>
    <t>T2: de 6 a 20</t>
  </si>
  <si>
    <t>T3: de 21 a 50</t>
  </si>
  <si>
    <t>T4: de 51 a 100</t>
  </si>
  <si>
    <t>T5: de 101 a 200</t>
  </si>
  <si>
    <t>T6: de 201 a 500</t>
  </si>
  <si>
    <t>T11: portals i webs obertes</t>
  </si>
  <si>
    <t>T10: de 10.001 a 150.000</t>
  </si>
  <si>
    <t>T9: de 3.001 a 10.000</t>
  </si>
  <si>
    <t>T8: de 1.001 a 3.000</t>
  </si>
  <si>
    <t>T7: de 501 a 1.000</t>
  </si>
  <si>
    <t>Baixa</t>
  </si>
  <si>
    <t>Mitja</t>
  </si>
  <si>
    <t>Alta</t>
  </si>
  <si>
    <t>Molt Alta</t>
  </si>
  <si>
    <t>Diària</t>
  </si>
  <si>
    <t>Setmanal</t>
  </si>
  <si>
    <t>Mensual</t>
  </si>
  <si>
    <t>Estacional</t>
  </si>
  <si>
    <t>Altres</t>
  </si>
  <si>
    <t>Diàries</t>
  </si>
  <si>
    <t>Setmanals</t>
  </si>
  <si>
    <t>Quinzenals</t>
  </si>
  <si>
    <t>Mensuals</t>
  </si>
  <si>
    <t>Trimestrals</t>
  </si>
  <si>
    <t>Anuals</t>
  </si>
  <si>
    <t>Baix</t>
  </si>
  <si>
    <t>Mig</t>
  </si>
  <si>
    <t>Alt</t>
  </si>
  <si>
    <t>Molt Alt</t>
  </si>
  <si>
    <t>Nul</t>
  </si>
  <si>
    <t>Actualitzat i disponible a Host</t>
  </si>
  <si>
    <t>Actualitzat i Ubicat a ICS</t>
  </si>
  <si>
    <t>Actualitzat i Ubicat a maquinari proveïdor</t>
  </si>
  <si>
    <t>Actualitzat i Ubicat a Serveis Centrals (SIC)</t>
  </si>
  <si>
    <t>Actualitzat i Ubicat al Departament</t>
  </si>
  <si>
    <t>No es disposa del codi font</t>
  </si>
  <si>
    <t>SI</t>
  </si>
  <si>
    <t>NO</t>
  </si>
  <si>
    <t>Ubicat a casa de l'integrador</t>
  </si>
  <si>
    <t>Parcial</t>
  </si>
  <si>
    <t>Sense disponibilitat (SaaS)</t>
  </si>
  <si>
    <t>Funcional actualitzat / Tècnic Actualitzat</t>
  </si>
  <si>
    <t>Funcional actualitzat / Tècnic NO Actualitzat</t>
  </si>
  <si>
    <t>Funcional NO actualitzat / Tècnic Actualitzat</t>
  </si>
  <si>
    <t>Funcional NO actualitzat / Tècnic NO Actualitzat</t>
  </si>
  <si>
    <t>No es disposa documentació</t>
  </si>
  <si>
    <t>Normal</t>
  </si>
  <si>
    <t>CE</t>
  </si>
  <si>
    <t>L</t>
  </si>
  <si>
    <t>LE</t>
  </si>
  <si>
    <t>Nivell de suport laboral. 8-18h, dies laborables</t>
  </si>
  <si>
    <t>Nivell de suport continu estès. 24h, tots els dies</t>
  </si>
  <si>
    <t>Nivell de suport laboral estès. 8-22h, dies laborables</t>
  </si>
  <si>
    <t>L (10.000h a 30.000h o 100KLOC a 300KLOC)</t>
  </si>
  <si>
    <t>M (1.000h a 10.000h o 10KLOC a 100KLOC)</t>
  </si>
  <si>
    <t>S (300h a 1.000h o 3KLOC a 10KLOC)</t>
  </si>
  <si>
    <t>XL (més de 30.000h o 300KLOC)</t>
  </si>
  <si>
    <t>XS (fins a 300h o 3KLOC)</t>
  </si>
  <si>
    <t>8x5</t>
  </si>
  <si>
    <t>12x5</t>
  </si>
  <si>
    <t>24x7</t>
  </si>
  <si>
    <t>Fins a 1 hora</t>
  </si>
  <si>
    <t>Fins a 24 hores</t>
  </si>
  <si>
    <t>Fins a 3 dies</t>
  </si>
  <si>
    <t>Fins a 8 hores</t>
  </si>
  <si>
    <t>Més de 3 dies</t>
  </si>
  <si>
    <t>Frameworks</t>
  </si>
  <si>
    <t>C/S Microsoft (VB, Access, C#)</t>
  </si>
  <si>
    <t>Cobol</t>
  </si>
  <si>
    <t>Cobol i ADS</t>
  </si>
  <si>
    <t>J2EE</t>
  </si>
  <si>
    <t>Oracle forms i PL/SQL</t>
  </si>
  <si>
    <t>Php i Html</t>
  </si>
  <si>
    <t>Power Builder</t>
  </si>
  <si>
    <t>SAP</t>
  </si>
  <si>
    <t>Web Microsoft (ASP, .Net)</t>
  </si>
  <si>
    <t>Base de dades</t>
  </si>
  <si>
    <t>DB2</t>
  </si>
  <si>
    <t>IDMS</t>
  </si>
  <si>
    <t>MS Access</t>
  </si>
  <si>
    <t>MySql</t>
  </si>
  <si>
    <t>Oracle</t>
  </si>
  <si>
    <t>SQL Server</t>
  </si>
  <si>
    <t>Alfresco</t>
  </si>
  <si>
    <t>Content Manager</t>
  </si>
  <si>
    <t>Documentum</t>
  </si>
  <si>
    <t>FileNet</t>
  </si>
  <si>
    <t>Vignette Content Manager</t>
  </si>
  <si>
    <t>Servidor d'aplicacions</t>
  </si>
  <si>
    <t>C/S</t>
  </si>
  <si>
    <t>C/S amb Host</t>
  </si>
  <si>
    <t>C/S amb Web</t>
  </si>
  <si>
    <t>Host</t>
  </si>
  <si>
    <t>Host amb Web</t>
  </si>
  <si>
    <t>Local</t>
  </si>
  <si>
    <t>Local amb Web</t>
  </si>
  <si>
    <t>Mòbil (PDA/iPad)</t>
  </si>
  <si>
    <t>Web</t>
  </si>
  <si>
    <t>Apache/Tomcat</t>
  </si>
  <si>
    <t>Bea Weblogic</t>
  </si>
  <si>
    <t>IIS</t>
  </si>
  <si>
    <t>Jboss</t>
  </si>
  <si>
    <t>Oracle AS</t>
  </si>
  <si>
    <t>WAS</t>
  </si>
  <si>
    <t>No planificat</t>
  </si>
  <si>
    <t>PLANIFICAT</t>
  </si>
  <si>
    <t>ET1</t>
  </si>
  <si>
    <t>ET2</t>
  </si>
  <si>
    <t>ET3</t>
  </si>
  <si>
    <t>ET4</t>
  </si>
  <si>
    <t>Web, PHP, J2EE, Portals, ...</t>
  </si>
  <si>
    <t>Paquets (SAP, BI, GIS, ERP, ...)</t>
  </si>
  <si>
    <t>C/S (VB, PB, OracleForms, ...)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</si>
  <si>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</si>
  <si>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</si>
  <si>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</si>
  <si>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</si>
  <si>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</si>
  <si>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</si>
  <si>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</si>
  <si>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</si>
  <si>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</si>
  <si>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</si>
  <si>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</si>
  <si>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Gestió de RRHH</t>
  </si>
  <si>
    <t>Negoci Economia Productiva/Interoperabilitat, Gestió de Subvencions i Ajuts</t>
  </si>
  <si>
    <t>Negoci Economia Productiva/Kit d'Administració Comú</t>
  </si>
  <si>
    <t>Negoci Formació i Recerca/Components Tecnològics-Arquitectura</t>
  </si>
  <si>
    <t>Negoci Formació i Recerca/Gestió d'Inventaris/Registres i Directoris</t>
  </si>
  <si>
    <t>Negoci Institucional/Gestió Contractació/Gestió de Continguts i Portals</t>
  </si>
  <si>
    <t>Negoci Institucional/Gestió Econòmica/Business Intelligence i Reporting</t>
  </si>
  <si>
    <t>Negoci Seguretat i Justícia</t>
  </si>
  <si>
    <t>Negoci Seguretat i Justícia/Gestió Documental i Arxiu/GIS</t>
  </si>
  <si>
    <t>Negoci Sociosanitari</t>
  </si>
  <si>
    <t>Negoci Sociosanitari/Gestió d'Expedients i Tràmits</t>
  </si>
  <si>
    <t>Directe a fabricant</t>
  </si>
  <si>
    <t>CTTI</t>
  </si>
  <si>
    <t>Indirecte</t>
  </si>
  <si>
    <t>Catàleg de solucions</t>
  </si>
  <si>
    <t>Llicències</t>
  </si>
  <si>
    <t>Total Llicències</t>
  </si>
  <si>
    <t>Cost any 2014
 (Sense IVA)</t>
  </si>
  <si>
    <t>Volatilitat de dades</t>
  </si>
  <si>
    <t>Mida aprox de l'Aplicació (hores o milers de línies de codi invertides pel seu desenvol.+ evolutius)</t>
  </si>
  <si>
    <t>Recurrent. Previsió Increment</t>
  </si>
  <si>
    <t>"on demand". Previsió increment</t>
  </si>
  <si>
    <t>Tarifes d'adjudicació</t>
  </si>
  <si>
    <t>T-Systems</t>
  </si>
  <si>
    <t>HP-Vass</t>
  </si>
  <si>
    <t>UTE Accenture-Indra</t>
  </si>
  <si>
    <t>TICxCAT</t>
  </si>
  <si>
    <t>Itteria</t>
  </si>
  <si>
    <t>IBM</t>
  </si>
  <si>
    <t>Indra</t>
  </si>
  <si>
    <t>Altran</t>
  </si>
  <si>
    <t>A1ET1</t>
  </si>
  <si>
    <t>A1ET2</t>
  </si>
  <si>
    <t>A1ET3</t>
  </si>
  <si>
    <t>A4ET4</t>
  </si>
  <si>
    <t>A1ET4</t>
  </si>
  <si>
    <t>A2ET1</t>
  </si>
  <si>
    <t>A2ET2</t>
  </si>
  <si>
    <t>A2ET3</t>
  </si>
  <si>
    <t>A2ET4</t>
  </si>
  <si>
    <t>A3ET1</t>
  </si>
  <si>
    <t>A3ET2</t>
  </si>
  <si>
    <t>A3ET3</t>
  </si>
  <si>
    <t>A3ET4</t>
  </si>
  <si>
    <t>A4ET1</t>
  </si>
  <si>
    <t>A4ET2</t>
  </si>
  <si>
    <t>A4ET3</t>
  </si>
  <si>
    <t>A5ET1</t>
  </si>
  <si>
    <t>A5ET2</t>
  </si>
  <si>
    <t>A5ET3</t>
  </si>
  <si>
    <t>A5ET4</t>
  </si>
  <si>
    <t>A6ET1</t>
  </si>
  <si>
    <t>A6ET2</t>
  </si>
  <si>
    <t>A6ET3</t>
  </si>
  <si>
    <t>A6ET4</t>
  </si>
  <si>
    <t>A7ET1</t>
  </si>
  <si>
    <t>A7ET2</t>
  </si>
  <si>
    <t>A7ET3</t>
  </si>
  <si>
    <t>A7ET4</t>
  </si>
  <si>
    <t>A8ET1</t>
  </si>
  <si>
    <t>A8ET2</t>
  </si>
  <si>
    <t>A8ET3</t>
  </si>
  <si>
    <t>A8ET4</t>
  </si>
  <si>
    <t>A9ET1</t>
  </si>
  <si>
    <t>A9ET2</t>
  </si>
  <si>
    <t>A9ET3</t>
  </si>
  <si>
    <t>A9ET4</t>
  </si>
  <si>
    <t>A10ET1</t>
  </si>
  <si>
    <t>A10ET2</t>
  </si>
  <si>
    <t>A10ET3</t>
  </si>
  <si>
    <t>A10ET4</t>
  </si>
  <si>
    <t>A11ET1</t>
  </si>
  <si>
    <t>A11ET2</t>
  </si>
  <si>
    <t>A11ET3</t>
  </si>
  <si>
    <t>A11ET4</t>
  </si>
  <si>
    <t>web J2EE</t>
  </si>
  <si>
    <t>C/S  PW VB</t>
  </si>
  <si>
    <t>ERP GIS BI</t>
  </si>
  <si>
    <t>LOT destí proposat</t>
  </si>
  <si>
    <t>Genera nous requeriments als serveis ?</t>
  </si>
  <si>
    <t xml:space="preserve">Lloc de treball                                                     </t>
  </si>
  <si>
    <t>Codi Diàleg</t>
  </si>
  <si>
    <t>CODIDEP</t>
  </si>
  <si>
    <t>CODI</t>
  </si>
  <si>
    <t>Departament/Entitat/Unitat</t>
  </si>
  <si>
    <t>Nom Aplicació</t>
  </si>
  <si>
    <t>Corporativa (S/N)</t>
  </si>
  <si>
    <t>Perfil (tècnic/funcional)</t>
  </si>
  <si>
    <t xml:space="preserve">Descripció </t>
  </si>
  <si>
    <t>Proveïdor que fa el manteniment</t>
  </si>
  <si>
    <t>Producte utilitzat</t>
  </si>
  <si>
    <t>Llenguatge principal (unificat)</t>
  </si>
  <si>
    <t>Llenguatges secundaris</t>
  </si>
  <si>
    <t>Base de Dades (unificada)</t>
  </si>
  <si>
    <t>Servidor Aplicacions (unificat)</t>
  </si>
  <si>
    <t>INTEGRACIÓ AMB GICAR (Autenticació)</t>
  </si>
  <si>
    <t>INTEGRACIÓ AMB GICAR (Provisió)</t>
  </si>
  <si>
    <t>Desplega components a estació de treball (PC)?</t>
  </si>
  <si>
    <t xml:space="preserve">Estat de l’aplicació </t>
  </si>
  <si>
    <t>Integracions</t>
  </si>
  <si>
    <t>Núm. usuaris d'Edició</t>
  </si>
  <si>
    <t>Núm. usuaris de Consulta</t>
  </si>
  <si>
    <t>Any d'implantació</t>
  </si>
  <si>
    <t>Hores Manteniment correctiu 2011</t>
  </si>
  <si>
    <t>Hores Manteniment adaptatiu tècnic 2011</t>
  </si>
  <si>
    <t>Hores Suport 2011</t>
  </si>
  <si>
    <t>Hores Gestió Operacional 2011</t>
  </si>
  <si>
    <t>Hores Manteniment adaptatiu normatiu 2011</t>
  </si>
  <si>
    <t>Hores Manteniment evolutiu 2011</t>
  </si>
  <si>
    <t>RECURRENT Hores 2011 (Correctiu, Adap. Tècnic, Suport, Gestió Operacional)</t>
  </si>
  <si>
    <t>Previsió Hores Manteniment Correctiu 2012</t>
  </si>
  <si>
    <t>Previsió hores manteniment adaptatiu Tècnic 2012</t>
  </si>
  <si>
    <t>Previsió Hores Suport 2012</t>
  </si>
  <si>
    <t>Previsió Hores Gestió Operacional 2012</t>
  </si>
  <si>
    <t>Previsió hores manteniment adaptatiu Normatiu 2012</t>
  </si>
  <si>
    <t>Previsió hores evolutiu 2012</t>
  </si>
  <si>
    <t>RECURRENT Previsió Hores 2012 (Correctiu, Adap. Tècnic, Suport, Gestió Operacional)</t>
  </si>
  <si>
    <t>Estabilitat de l'Aplicació</t>
  </si>
  <si>
    <t xml:space="preserve">Estacionalitat d'ús </t>
  </si>
  <si>
    <t>Volatilitat</t>
  </si>
  <si>
    <t>Nivell d’obsolescència funcional</t>
  </si>
  <si>
    <t>Nivell d’obsolescència técnica</t>
  </si>
  <si>
    <t>CAU Funcional</t>
  </si>
  <si>
    <t>Disponibilitat i fiabilitat de documentació tècnica</t>
  </si>
  <si>
    <t>NAQ 
(Nivell d'Assegurament de la Qualitat)</t>
  </si>
  <si>
    <t>Nivell Servei Suport</t>
  </si>
  <si>
    <t>Descripció Nivell de servei de suport</t>
  </si>
  <si>
    <t>Mida aprox de l'Aplicació (hores o milers de línies de codi invertides pel seu desenvolupament + evolutius)</t>
  </si>
  <si>
    <t>Descripció Agrupació Tecnològica</t>
  </si>
  <si>
    <t>Agrupació definitiva</t>
  </si>
  <si>
    <t>Antic Lot Licitació</t>
  </si>
  <si>
    <t>Descripció Lot</t>
  </si>
  <si>
    <t>Tipus Bloc</t>
  </si>
  <si>
    <t>Previsió construcció 2012</t>
  </si>
  <si>
    <t>Grup d'Aplicació o Unitat de manteniment inseparable</t>
  </si>
  <si>
    <t>Paquet/Producte</t>
  </si>
  <si>
    <t>Requereix llicències</t>
  </si>
  <si>
    <t>Nou Lot canvi</t>
  </si>
  <si>
    <t>Nou Bloc canvi</t>
  </si>
  <si>
    <t>Nova Agrupació Def.</t>
  </si>
  <si>
    <t>Nova Descripció del Lot</t>
  </si>
  <si>
    <t>Indicador de Baixa</t>
  </si>
  <si>
    <t>Nova alta</t>
  </si>
  <si>
    <t>Nou Lot definitiu</t>
  </si>
  <si>
    <t>Canvis hores Recurrent</t>
  </si>
  <si>
    <t>Canvis hores Sota demanda</t>
  </si>
  <si>
    <t>Noves hores Recurrent definitives</t>
  </si>
  <si>
    <t>Noves hores Sota Demanda definitives</t>
  </si>
  <si>
    <t>Total Sota Demanda (inc. CONS)</t>
  </si>
  <si>
    <t>Codi Servei CPD</t>
  </si>
  <si>
    <t>ET Definitiu</t>
  </si>
  <si>
    <t>Nou Bloc definitiu</t>
  </si>
  <si>
    <t>Nova Agrupació Definitiva</t>
  </si>
  <si>
    <t>Nova Descripció del Lot definitiva</t>
  </si>
  <si>
    <t>Noves hores Recurrent definitives (Correcció DD)</t>
  </si>
  <si>
    <t>Noves hores Sota Demanda definitives (Correcció DD)</t>
  </si>
  <si>
    <t>Total Sota Demanda (inc. CONS) (Correcció DD)</t>
  </si>
  <si>
    <t>Noves hores Recurrent (Previsió 2013)</t>
  </si>
  <si>
    <t>Noves hores Sota Demanda (Previsió 2013)</t>
  </si>
  <si>
    <t>Noves hores TOTAL Sota Demanda inclòs Construcció (Previsió 2013)</t>
  </si>
  <si>
    <t>Paquet/Producte amb llicenciament i suport específic des del Lot Aplicacions</t>
  </si>
  <si>
    <t>Requereix llicències específiques</t>
  </si>
  <si>
    <t>Requereix llicències genèriques i/o  Acords Estratègics</t>
  </si>
  <si>
    <t>Nom Producte/Paquet</t>
  </si>
  <si>
    <t>Import s/IVA 2012 Suport producte a subcontractar</t>
  </si>
  <si>
    <t>Productes
Acció realitzada</t>
  </si>
  <si>
    <t>Preu s/IVA 2012
 llicència fora Lot</t>
  </si>
  <si>
    <t>Petició Renovació llicència</t>
  </si>
  <si>
    <t>Observacions</t>
  </si>
  <si>
    <t>Nova ET (paquets i productes)</t>
  </si>
  <si>
    <t>Recurrent a treure per productes i incorporar a Sota Demanda</t>
  </si>
  <si>
    <t>Incorporació 8% Gestió paquests llicències específiques</t>
  </si>
  <si>
    <t>incorporació recurrent de 0 a 12</t>
  </si>
  <si>
    <t>Recurrent licitació</t>
  </si>
  <si>
    <t>Diferència de recurrent</t>
  </si>
  <si>
    <t>Sota Demanda Licitació inclòs construcció</t>
  </si>
  <si>
    <t>Diferència de Sota demanda inclos construcció</t>
  </si>
  <si>
    <t>Hores Manteniment Correctiu Simulació (26,6%)</t>
  </si>
  <si>
    <t>Hores Man. Adaptatiu Tècnic Simulació (9,3%)</t>
  </si>
  <si>
    <t>Hores Suport Simulació (37%)</t>
  </si>
  <si>
    <t>Hores OGOA Simulació (27%)</t>
  </si>
  <si>
    <t>Hores Gestió Simulació</t>
  </si>
  <si>
    <t>Hores GP's Simulació</t>
  </si>
  <si>
    <t>Total Recurrent DD</t>
  </si>
  <si>
    <t>diferència gestió</t>
  </si>
  <si>
    <t>Antiges hores GP's</t>
  </si>
  <si>
    <t>Antiges hores gestió</t>
  </si>
  <si>
    <t>Diferencia GP's incloses simulació</t>
  </si>
  <si>
    <t>Diferencies DD Correcció  i Adjudicació Recurrent</t>
  </si>
  <si>
    <t>Nou negociat Recurrent Simulació</t>
  </si>
  <si>
    <t>Nou negociat Sota Demanda Simulació</t>
  </si>
  <si>
    <t>Increment Hores Gestió, Proj Transf, GICAR, A8, A4 i A6</t>
  </si>
  <si>
    <t>diferencies adjudic i simulacio</t>
  </si>
  <si>
    <t>Recurrent adjudicació</t>
  </si>
  <si>
    <t>Dif adjudicació i DD CORR</t>
  </si>
  <si>
    <t>Dif negociat i simulació</t>
  </si>
  <si>
    <t>Noves hores Recurrent definitives (Correcció DD) v1</t>
  </si>
  <si>
    <t>Noves hores Recurrent (Negociat i incorpora alguna previsió 2013) v1</t>
  </si>
  <si>
    <t>Diferència negociat i simulacio Sota demanda</t>
  </si>
  <si>
    <t>Descripció de l'aplicació</t>
  </si>
  <si>
    <t>SubLot destí proposat</t>
  </si>
  <si>
    <t>Codi de la Solució  o Agregació de serveis tecnològics</t>
  </si>
  <si>
    <t>Referència de l'adquisició</t>
  </si>
  <si>
    <t>Nom del producte o de la Llicència</t>
  </si>
  <si>
    <t>Nombre d'Usuaris de Consulta</t>
  </si>
  <si>
    <t>Nivell d'obsolescència Funcional</t>
  </si>
  <si>
    <t>Cau Funcional</t>
  </si>
  <si>
    <t>URLs i Certificats</t>
  </si>
  <si>
    <t>Tipus de Certificat</t>
  </si>
  <si>
    <t>Proveïdor del Certificat</t>
  </si>
  <si>
    <t>Instal·lat a:</t>
  </si>
  <si>
    <t>Data de Caducitat</t>
  </si>
  <si>
    <t>Urls Integració</t>
  </si>
  <si>
    <t>Urls Pre-producció</t>
  </si>
  <si>
    <t>Urls Producció</t>
  </si>
  <si>
    <t>Lot CPD</t>
  </si>
  <si>
    <t>Referències CPD</t>
  </si>
  <si>
    <t>Altres Entorns</t>
  </si>
  <si>
    <t>Desplega Components a PC?</t>
  </si>
  <si>
    <t>Aplicació particularitzada per a dispositius mòbils?</t>
  </si>
  <si>
    <t>Nova solució o agregació de Serveis?</t>
  </si>
  <si>
    <t>Integració amb la PICA?</t>
  </si>
  <si>
    <t>Integració amb S@rcat?</t>
  </si>
  <si>
    <t>Integració amb el COiCO?</t>
  </si>
  <si>
    <t>Integració amb el GECO?</t>
  </si>
  <si>
    <t>Integració amb eFormularis?</t>
  </si>
  <si>
    <t>Integració amb el Servidor de Correu?</t>
  </si>
  <si>
    <t>No disponible</t>
  </si>
  <si>
    <t>C</t>
  </si>
  <si>
    <t>Nivell de suport continu. 8-22h, tots els dies</t>
  </si>
  <si>
    <t>CATEGORIA</t>
  </si>
  <si>
    <t>SUBCATEGORIA</t>
  </si>
  <si>
    <t>SOLUCIÓ</t>
  </si>
  <si>
    <t>Codi Complet</t>
  </si>
  <si>
    <t>Sistemes de Negoci</t>
  </si>
  <si>
    <t>SINE</t>
  </si>
  <si>
    <t>Gestió de Documents</t>
  </si>
  <si>
    <t>GDOC</t>
  </si>
  <si>
    <t>Sarcat</t>
  </si>
  <si>
    <t>SAR</t>
  </si>
  <si>
    <t>Administració Electrònica</t>
  </si>
  <si>
    <t>ADEL</t>
  </si>
  <si>
    <t>Gencat Serveis i Tràmits</t>
  </si>
  <si>
    <t>SIT</t>
  </si>
  <si>
    <t>Plataforma d’Integració i Col·laboració Administrativa</t>
  </si>
  <si>
    <t>PCA</t>
  </si>
  <si>
    <t>RRHH</t>
  </si>
  <si>
    <t>Gestió Corporativa de Recursos Humans</t>
  </si>
  <si>
    <t>RHH</t>
  </si>
  <si>
    <t>Gestió Contractació</t>
  </si>
  <si>
    <t>CNTR</t>
  </si>
  <si>
    <t>Contractació Corporativa</t>
  </si>
  <si>
    <t>CTR</t>
  </si>
  <si>
    <t>Registres de Contractació</t>
  </si>
  <si>
    <t>REG</t>
  </si>
  <si>
    <t>Gestió Econòmica Financera</t>
  </si>
  <si>
    <t>GEFI</t>
  </si>
  <si>
    <t>Economica i Financera Corporativa</t>
  </si>
  <si>
    <t>EFI</t>
  </si>
  <si>
    <t>SIG</t>
  </si>
  <si>
    <t>SIGC</t>
  </si>
  <si>
    <t>Plataforma Corporativa de SIG</t>
  </si>
  <si>
    <t>Mobilitat</t>
  </si>
  <si>
    <t>MOBI</t>
  </si>
  <si>
    <t xml:space="preserve"> Plataforma mòbil de Notificacions PUSH </t>
  </si>
  <si>
    <t>PNP</t>
  </si>
  <si>
    <t>Difusió Multicanal</t>
  </si>
  <si>
    <t>DIMU</t>
  </si>
  <si>
    <t>Oficina Virtual de Tràmits</t>
  </si>
  <si>
    <t>OVT</t>
  </si>
  <si>
    <t>Servei Atenció Ciutadana</t>
  </si>
  <si>
    <t>SAC</t>
  </si>
  <si>
    <t>Equipaments</t>
  </si>
  <si>
    <t>EQP</t>
  </si>
  <si>
    <t>Butlletins Gencat</t>
  </si>
  <si>
    <t>BUT</t>
  </si>
  <si>
    <t>BIG</t>
  </si>
  <si>
    <t>Blocs Gencat</t>
  </si>
  <si>
    <t>BLC</t>
  </si>
  <si>
    <t>eCatalunya</t>
  </si>
  <si>
    <t>ECT</t>
  </si>
  <si>
    <t>Webs DGACD</t>
  </si>
  <si>
    <t>WEB</t>
  </si>
  <si>
    <t>Dades Obertes Gencat</t>
  </si>
  <si>
    <t>DOB</t>
  </si>
  <si>
    <t>Eines de suport a solucions Gencat</t>
  </si>
  <si>
    <t>SUP</t>
  </si>
  <si>
    <t>Agregacions de Serveis Tecnològics</t>
  </si>
  <si>
    <t>AGST</t>
  </si>
  <si>
    <t>Cultura</t>
  </si>
  <si>
    <t>DCLT</t>
  </si>
  <si>
    <t>CLT - Secretaria General</t>
  </si>
  <si>
    <t>SGR</t>
  </si>
  <si>
    <t>CLT - Direcció de Serveis</t>
  </si>
  <si>
    <t>DSR</t>
  </si>
  <si>
    <t>CLT - Gabinet Tècnic</t>
  </si>
  <si>
    <t>GTC</t>
  </si>
  <si>
    <t>CLT - Portals</t>
  </si>
  <si>
    <t>PRT</t>
  </si>
  <si>
    <t>CLT - Subvencions</t>
  </si>
  <si>
    <t>SBV</t>
  </si>
  <si>
    <t>CLT - Política lingüística</t>
  </si>
  <si>
    <t>LNG</t>
  </si>
  <si>
    <t>CLT - Promoció i Cooperació</t>
  </si>
  <si>
    <t>PRO</t>
  </si>
  <si>
    <t>CLT - Cultura popular i tradicional</t>
  </si>
  <si>
    <t>POP</t>
  </si>
  <si>
    <t>CLT - Biblioteques</t>
  </si>
  <si>
    <t>BBL</t>
  </si>
  <si>
    <t>CLT - Patrimoni</t>
  </si>
  <si>
    <t>PTR</t>
  </si>
  <si>
    <t>CLT - Arxius i Museus</t>
  </si>
  <si>
    <t>ARX</t>
  </si>
  <si>
    <t>CLT - ICEC</t>
  </si>
  <si>
    <t>ICC</t>
  </si>
  <si>
    <t>CLT - ILC</t>
  </si>
  <si>
    <t>ILC</t>
  </si>
  <si>
    <t>Empresa i Ocupació</t>
  </si>
  <si>
    <t>DEMO</t>
  </si>
  <si>
    <t>EMO - SG Empresa</t>
  </si>
  <si>
    <t>SGE</t>
  </si>
  <si>
    <t>EMO - SG Ocupació</t>
  </si>
  <si>
    <t>SGO</t>
  </si>
  <si>
    <t>EMO - CTTI - Governança</t>
  </si>
  <si>
    <t>GOV</t>
  </si>
  <si>
    <t>EMO - CTTI - Gestió</t>
  </si>
  <si>
    <t>GES</t>
  </si>
  <si>
    <t>EMO - CTTI - Frameworks</t>
  </si>
  <si>
    <t>FWK</t>
  </si>
  <si>
    <t>EMO - CTTI - Seguretat</t>
  </si>
  <si>
    <t>SEG</t>
  </si>
  <si>
    <t>EMO - Sgral i Coneselleria</t>
  </si>
  <si>
    <t>SGC</t>
  </si>
  <si>
    <t>EMO - SOC Polítiques Actives</t>
  </si>
  <si>
    <t>SPA</t>
  </si>
  <si>
    <t>EMO - SOC Subvencions</t>
  </si>
  <si>
    <t>SUB</t>
  </si>
  <si>
    <t>EMO - SOC Generals</t>
  </si>
  <si>
    <t>SOC</t>
  </si>
  <si>
    <t>EMO - ACC (Consum)</t>
  </si>
  <si>
    <t>ACC</t>
  </si>
  <si>
    <t>EMO - ICAEN (Energia)</t>
  </si>
  <si>
    <t>ICA</t>
  </si>
  <si>
    <t>EMO - ACT (Turisme)</t>
  </si>
  <si>
    <t>ACT</t>
  </si>
  <si>
    <t>Justícia</t>
  </si>
  <si>
    <t>DJUS</t>
  </si>
  <si>
    <t>JUS - Administració de Justícia de Catalunya</t>
  </si>
  <si>
    <t>ADM</t>
  </si>
  <si>
    <t>JUS - Penitenciaris de Catalunya</t>
  </si>
  <si>
    <t>PEN</t>
  </si>
  <si>
    <t>JUS -Dret i Entitats Jurídiques</t>
  </si>
  <si>
    <t>EJU</t>
  </si>
  <si>
    <t>JUS - Institut de Medecina Legal de Catalunya</t>
  </si>
  <si>
    <t>LEG</t>
  </si>
  <si>
    <t>JUS - Serveis Centrals del Departament de Justícia</t>
  </si>
  <si>
    <t>SCC</t>
  </si>
  <si>
    <t>JUS - Recursos Humans dels Serveis Centrals del Departament de Justícia</t>
  </si>
  <si>
    <t>RHJ</t>
  </si>
  <si>
    <t>JUS - Gestió del Coneixement dels Serveis Centrals del Departament de Justícia</t>
  </si>
  <si>
    <t>CON</t>
  </si>
  <si>
    <t>Territori</t>
  </si>
  <si>
    <t>DTES</t>
  </si>
  <si>
    <t>TES - Carreteres</t>
  </si>
  <si>
    <t>CAR</t>
  </si>
  <si>
    <t>TES - Urbanisme i Territori</t>
  </si>
  <si>
    <t>URB</t>
  </si>
  <si>
    <t>TES - Transport</t>
  </si>
  <si>
    <t>TRN</t>
  </si>
  <si>
    <t>TES - Ambiental</t>
  </si>
  <si>
    <t>AMB</t>
  </si>
  <si>
    <t>TES - General</t>
  </si>
  <si>
    <t>GRL</t>
  </si>
  <si>
    <t>Presidència</t>
  </si>
  <si>
    <t>DPRE</t>
  </si>
  <si>
    <t>PRE - Consell Català de l'Esport</t>
  </si>
  <si>
    <t>CCE</t>
  </si>
  <si>
    <t>PRE - Agència Catalana de Cooperació al Desenvolupament</t>
  </si>
  <si>
    <t>PRE - Secretaria General de la Presidència</t>
  </si>
  <si>
    <t>PRE - Oficina del President i Coordinació Interdepartamental</t>
  </si>
  <si>
    <t>OFP</t>
  </si>
  <si>
    <t>PRE - Delegació del Govern de la Generalitat a Madrid</t>
  </si>
  <si>
    <t>MAD</t>
  </si>
  <si>
    <t>PRE - Secretaria d'Afers Exteriors i de la Unió Europea</t>
  </si>
  <si>
    <t>EXT</t>
  </si>
  <si>
    <t>PRE - Patronat de la Muntanya de Montserrat</t>
  </si>
  <si>
    <t>PMM</t>
  </si>
  <si>
    <t>PRE - Comissió Jurídica Assessora</t>
  </si>
  <si>
    <t>CJA</t>
  </si>
  <si>
    <t>PRE - Direcció General de Mitjans de Comunicació</t>
  </si>
  <si>
    <t>COM</t>
  </si>
  <si>
    <t>PRE - Delegació Territorial del Govern a Girona</t>
  </si>
  <si>
    <t>GIR</t>
  </si>
  <si>
    <t>PRE - Direcció de Serveis</t>
  </si>
  <si>
    <t>PRE - Oficines dels Expresidents</t>
  </si>
  <si>
    <t>EXP</t>
  </si>
  <si>
    <t>PRE - Delegacions Territorials del Govern (excepte Girona)</t>
  </si>
  <si>
    <t>TER</t>
  </si>
  <si>
    <t>PRE - Centre d'Història Contemporània de Catalunya</t>
  </si>
  <si>
    <t>HCC</t>
  </si>
  <si>
    <t>PRE - Gabinet Jurídic de la Generalitat de Catalunya</t>
  </si>
  <si>
    <t>GJU</t>
  </si>
  <si>
    <t>PRE - Direcció General de Comunicació del Govern</t>
  </si>
  <si>
    <t>CGO</t>
  </si>
  <si>
    <t>PRE - Oficina del Govern</t>
  </si>
  <si>
    <t>PRE - Casa de la Generalitat a Perpinyà</t>
  </si>
  <si>
    <t>PER</t>
  </si>
  <si>
    <t>PRE - Secretaria del Govern</t>
  </si>
  <si>
    <t>PRE - Consell Assessor per al Desenvolupament Sostenible</t>
  </si>
  <si>
    <t>CDS</t>
  </si>
  <si>
    <t>PRE - Patronat Catalunya Món - Consell de Diplomàcia Pública de Catalunya</t>
  </si>
  <si>
    <t>PCM</t>
  </si>
  <si>
    <t>PRE - Òrgan Administratiu de Recursos Contractuals de Catalunya</t>
  </si>
  <si>
    <t>RCC</t>
  </si>
  <si>
    <t>PRE - Direcció General d'Atenció Ciutadana i Difusió</t>
  </si>
  <si>
    <t>ACD</t>
  </si>
  <si>
    <t>PRE - Atenció Ciutadana - Mobilitat</t>
  </si>
  <si>
    <t>ACM</t>
  </si>
  <si>
    <t>PRE - EADOP</t>
  </si>
  <si>
    <t>DOG</t>
  </si>
  <si>
    <t>Departament d’Agricultura, Ramaderia, 
Pesca, Alimentació i Medi Natural</t>
  </si>
  <si>
    <t>DAAM</t>
  </si>
  <si>
    <t>AAM - Ramaderia</t>
  </si>
  <si>
    <t>RAM</t>
  </si>
  <si>
    <t>AAM - Desenvolupament Rural</t>
  </si>
  <si>
    <t>DRU</t>
  </si>
  <si>
    <t>AAM - Industria, Pesca, Medi Natural</t>
  </si>
  <si>
    <t>IPM</t>
  </si>
  <si>
    <t>AAM - Gabinet Secretari Genera i Director Serveis</t>
  </si>
  <si>
    <t>Benestar Social i Família</t>
  </si>
  <si>
    <t>DBSF</t>
  </si>
  <si>
    <t>BSF - ICASS</t>
  </si>
  <si>
    <t>BSF - MCOM-BI Moduls comuns i BI</t>
  </si>
  <si>
    <t>BSF - DGACC Acció Civica</t>
  </si>
  <si>
    <t>BSF - DGAIA-ICAA Infancia</t>
  </si>
  <si>
    <t>INF</t>
  </si>
  <si>
    <t>BSF - IMMIGRACIÓ</t>
  </si>
  <si>
    <t>IMM</t>
  </si>
  <si>
    <t>BSF - JOVENTUT</t>
  </si>
  <si>
    <t>JOV</t>
  </si>
  <si>
    <t>BSF - SEC FAMILIA</t>
  </si>
  <si>
    <t>FAM</t>
  </si>
  <si>
    <t>BSF - SEC GRAL</t>
  </si>
  <si>
    <t>BSF - DIR SERVEIS</t>
  </si>
  <si>
    <t>Economia i Coneixement</t>
  </si>
  <si>
    <t>DECO</t>
  </si>
  <si>
    <t>ECO - Tecnològic</t>
  </si>
  <si>
    <t>TEC</t>
  </si>
  <si>
    <t>ECO - EcoFinancer Altres</t>
  </si>
  <si>
    <t>EFA</t>
  </si>
  <si>
    <t>ECO - Patrimoni</t>
  </si>
  <si>
    <t>PAT</t>
  </si>
  <si>
    <t>ECO - Joc</t>
  </si>
  <si>
    <t>JOC</t>
  </si>
  <si>
    <t>ECO - Resta</t>
  </si>
  <si>
    <t>RST</t>
  </si>
  <si>
    <t>ECO - Agència Tributària</t>
  </si>
  <si>
    <t>ATC</t>
  </si>
  <si>
    <t>ECO - SUR Universitats</t>
  </si>
  <si>
    <t>SUR</t>
  </si>
  <si>
    <t>Governació i Relacions Institucionals</t>
  </si>
  <si>
    <t>DGRI</t>
  </si>
  <si>
    <t>GRI - RRHH</t>
  </si>
  <si>
    <t>GRI - Administració Local</t>
  </si>
  <si>
    <t>LOC</t>
  </si>
  <si>
    <t>GRI - Escola Administració Pública</t>
  </si>
  <si>
    <t>EAP</t>
  </si>
  <si>
    <t>GRI - Eleccions</t>
  </si>
  <si>
    <t>ELC</t>
  </si>
  <si>
    <t>GRI - Resta</t>
  </si>
  <si>
    <t>Ensenyament</t>
  </si>
  <si>
    <t>DENS</t>
  </si>
  <si>
    <t>ENS - Alumnat</t>
  </si>
  <si>
    <t>ALU</t>
  </si>
  <si>
    <t>ENS - Centres</t>
  </si>
  <si>
    <t>ENS - Comunicació</t>
  </si>
  <si>
    <t>ENS - Gestió interna</t>
  </si>
  <si>
    <t>ENS - Professorat</t>
  </si>
  <si>
    <t>PRF</t>
  </si>
  <si>
    <t>ENS - Tecnologies per a l'aprenentatge i coneixement</t>
  </si>
  <si>
    <t>TAC</t>
  </si>
  <si>
    <t>Interior</t>
  </si>
  <si>
    <t>DINT</t>
  </si>
  <si>
    <t>INT - DGPEIS - SSCC</t>
  </si>
  <si>
    <t>SCE</t>
  </si>
  <si>
    <t>INT - Policia</t>
  </si>
  <si>
    <t>DGP</t>
  </si>
  <si>
    <t>INT - Trànsit</t>
  </si>
  <si>
    <t>SCT</t>
  </si>
  <si>
    <t>Salut</t>
  </si>
  <si>
    <t>DSLT</t>
  </si>
  <si>
    <t>SLT - General</t>
  </si>
  <si>
    <t>SLT - ICS - ALTRES</t>
  </si>
  <si>
    <t>ALT</t>
  </si>
  <si>
    <t>SLT - ICS - ARGOS</t>
  </si>
  <si>
    <t>ARG</t>
  </si>
  <si>
    <t>SLT - ICS- ECAP</t>
  </si>
  <si>
    <t>ECP</t>
  </si>
  <si>
    <t>SLT - ICS -EFC</t>
  </si>
  <si>
    <t>EFC</t>
  </si>
  <si>
    <t>SLT - ICAM</t>
  </si>
  <si>
    <t>Negoci-B Seguretat i Justícia</t>
  </si>
  <si>
    <t>Gestió Documental/Arxiu</t>
  </si>
  <si>
    <t>GIS</t>
  </si>
  <si>
    <t>A·2</t>
  </si>
  <si>
    <t>A·1</t>
  </si>
  <si>
    <t>A·3</t>
  </si>
  <si>
    <t>A·4</t>
  </si>
  <si>
    <t>A·5</t>
  </si>
  <si>
    <t>A·6</t>
  </si>
  <si>
    <t>A·7</t>
  </si>
  <si>
    <t>A·8</t>
  </si>
  <si>
    <t>A·9</t>
  </si>
  <si>
    <t>A·10</t>
  </si>
  <si>
    <t>A·11</t>
  </si>
  <si>
    <t>Negoci-C Institucional</t>
  </si>
  <si>
    <t>Gestió de Continguts i Portals</t>
  </si>
  <si>
    <t>Gestió Econòmica</t>
  </si>
  <si>
    <t>Business Intelligence i Reporting</t>
  </si>
  <si>
    <t>Negoci-E Formació i Recerca</t>
  </si>
  <si>
    <t>Components Tecnològics/Arquitectura</t>
  </si>
  <si>
    <t>Gestió d'Inventaris</t>
  </si>
  <si>
    <t>Registres/Directoris</t>
  </si>
  <si>
    <t>Negoci-D Sociosanitari</t>
  </si>
  <si>
    <t>Gestió d'Expedients i Tràmits</t>
  </si>
  <si>
    <t>Negoci-A Economia Productiva</t>
  </si>
  <si>
    <t>Interoperabilitat, Gestió de Subvencions i Ajuts</t>
  </si>
  <si>
    <t>Kit Administració Comú</t>
  </si>
  <si>
    <t>CPD</t>
  </si>
  <si>
    <t>UTE HP Española SL - Aventia Iberia SL</t>
  </si>
  <si>
    <t>CPD2</t>
  </si>
  <si>
    <t>CPD1</t>
  </si>
  <si>
    <t>UTE IBM Global Services España SA</t>
  </si>
  <si>
    <t>CPD3</t>
  </si>
  <si>
    <t>UTE Unitecnic-Nexica</t>
  </si>
  <si>
    <t>CPD4</t>
  </si>
  <si>
    <t>CPD Nucli Lot 1</t>
  </si>
  <si>
    <t>CPD Nucli Lot 2</t>
  </si>
  <si>
    <t>Lots i Sublots</t>
  </si>
  <si>
    <t>Previsió hores any 2014</t>
  </si>
  <si>
    <t>Previsió hores any complert
 2015</t>
  </si>
  <si>
    <t>Bloc (Negoci/Transversal)</t>
  </si>
  <si>
    <t>Bloc 
(Negoci/Transversal)</t>
  </si>
  <si>
    <t>Lot</t>
  </si>
  <si>
    <t>Descripció del Lot</t>
  </si>
  <si>
    <t>Agrupació (funcional)</t>
  </si>
  <si>
    <t>N</t>
  </si>
  <si>
    <t>T</t>
  </si>
  <si>
    <t>NAQ 
(Nivell d'assegurament de la qualitat)</t>
  </si>
  <si>
    <t>També podeu consultar el Catàleg de Solucions al Portic: 
https://portic.ctti.gencat.cat/documentacio/ctti/Documents%20compartits/Forms/Vista%20PorTIC.aspx</t>
  </si>
  <si>
    <t>Dades del Peticionari</t>
  </si>
  <si>
    <t>Rol</t>
  </si>
  <si>
    <t>Dades de l'Autoritzador (es recomana que sigui el DAT del Departament)</t>
  </si>
  <si>
    <t>Nom i Cognoms</t>
  </si>
  <si>
    <t>Codi Pare</t>
  </si>
  <si>
    <t>Codi Fill</t>
  </si>
  <si>
    <t>Lot CPD Associat</t>
  </si>
  <si>
    <t>INTEGRACIÓ AMB PICA</t>
  </si>
  <si>
    <t>INTEGRACIÓ AMB COiCO</t>
  </si>
  <si>
    <t>INTEGRACIÓ AMB S@RCAT</t>
  </si>
  <si>
    <t>INTEGRACIÓ AMB GECO</t>
  </si>
  <si>
    <t>INTEGRACIÓ AMB eFORMULARIS</t>
  </si>
  <si>
    <t>INTEGRACIÓ AMB SERVIDOR DE CORREU</t>
  </si>
  <si>
    <t>Codi Agregació de serveis tecnològics</t>
  </si>
  <si>
    <t>URLs Integració</t>
  </si>
  <si>
    <t>URLs Preproducció</t>
  </si>
  <si>
    <t>URLs Producció</t>
  </si>
  <si>
    <t>Proveidor (Catcert o Verisign)</t>
  </si>
  <si>
    <t>Data Caducitat</t>
  </si>
  <si>
    <t>CDCDS</t>
  </si>
  <si>
    <t>CDP</t>
  </si>
  <si>
    <t>CDA</t>
  </si>
  <si>
    <t>Certificat de SEU</t>
  </si>
  <si>
    <t>Certificat Segell Electrònic</t>
  </si>
  <si>
    <t>Altres certificats Tipus?</t>
  </si>
  <si>
    <t>Emisor</t>
  </si>
  <si>
    <t>Nom producte utilitzat per relacionar amb inventari aprovisionament</t>
  </si>
  <si>
    <t>ID llicència</t>
  </si>
  <si>
    <t>Contractat final?</t>
  </si>
  <si>
    <t>Hores Previsió Recurrent 2014</t>
  </si>
  <si>
    <t>Hores Previsió Sota demanda 2014</t>
  </si>
  <si>
    <t>Hores Previsió Recurrent 2015</t>
  </si>
  <si>
    <t>Hores Previsió Sota demanda 2015</t>
  </si>
  <si>
    <t>N/A</t>
  </si>
  <si>
    <t>Nivell d'obsolescència tècnica</t>
  </si>
  <si>
    <t>EMO - ACCIÓ</t>
  </si>
  <si>
    <t>ACI</t>
  </si>
  <si>
    <t>Extern</t>
  </si>
  <si>
    <t>Cost any 2015
 (Sense IVA)</t>
  </si>
  <si>
    <t>Proveïdor de Certificats</t>
  </si>
  <si>
    <t xml:space="preserve">CatCert </t>
  </si>
  <si>
    <t>Verisign</t>
  </si>
  <si>
    <t>Lloc d'Instal·lació del  Certificat</t>
  </si>
  <si>
    <t>NUS</t>
  </si>
  <si>
    <t>És un SaaS (Software as a Service)?</t>
  </si>
  <si>
    <t xml:space="preserve">Proporcionat per </t>
  </si>
  <si>
    <t>Certificats: Proporcionat per</t>
  </si>
  <si>
    <t>CESICAT</t>
  </si>
  <si>
    <t>Observacions Generals</t>
  </si>
  <si>
    <t>Tributs</t>
  </si>
  <si>
    <t>TRIB</t>
  </si>
  <si>
    <t>Hisenda Catalana</t>
  </si>
  <si>
    <t>HIC</t>
  </si>
  <si>
    <t>Codi diàleg:</t>
  </si>
  <si>
    <t>NAQ Solució</t>
  </si>
  <si>
    <t>Nom aplicació:</t>
  </si>
  <si>
    <t>NAQ calculat:</t>
  </si>
  <si>
    <t>Àmbit:</t>
  </si>
  <si>
    <t>NAQ escollit:</t>
  </si>
  <si>
    <t>&lt;Justificació&gt;</t>
  </si>
  <si>
    <t>Nom del autor:</t>
  </si>
  <si>
    <t>Data:</t>
  </si>
  <si>
    <t>Codi</t>
  </si>
  <si>
    <t>Criteri</t>
  </si>
  <si>
    <t>Descripció</t>
  </si>
  <si>
    <t>Directrius</t>
  </si>
  <si>
    <t>Pes</t>
  </si>
  <si>
    <t>Determinant?</t>
  </si>
  <si>
    <t>Valor
assignat</t>
  </si>
  <si>
    <t>Justificació</t>
  </si>
  <si>
    <t>Valor Ponderat</t>
  </si>
  <si>
    <t>Valor Mínim</t>
  </si>
  <si>
    <t>NAQ-1</t>
  </si>
  <si>
    <t>Criticitat en la missió o el negoci de la solució</t>
  </si>
  <si>
    <t xml:space="preserve">Quin impacte pot tenir una disfunció, interrupció, o error de l'operativa de la solució en el negoci?
</t>
  </si>
  <si>
    <t>0 - Criticitat molt baixa - Dóna suport a funcions d'investigació de nova tecnologia o nou concepte de negoci.
1 - Criticitat baixa - Dóna suport a funcions de negoci/tècniques menors, no crítiques.
2 - Criticitat mitja - Dóna suport a funcions importants, crítiques, però existeix una solució temporal o una solució prèvia que dóna cobertura a aquestes funcions.
3 - Criticitat alta - Dóna suport a funcions importants, crítiques, i no existeix una solució temporal; o Impacta en el ciutadà;  o amb interoperabilitat amb altres administracions /ens locals /organismes
4 - Criticitat molt alta - Absolutament crítica o amb impacte mediàtic.</t>
  </si>
  <si>
    <t>NAQ-2</t>
  </si>
  <si>
    <t>Visibilitat de la solució</t>
  </si>
  <si>
    <t>Quin nombre d'usuaris poden utilitzar la solució?
Quin tipus d'usuaris són i on estan ubicats?
Amb quina freqüència en fan ús?</t>
  </si>
  <si>
    <t xml:space="preserve">0 - És una solució de 1 a 9 usuaris/clients interns coneguts amb una freqüència d'ús baixa
1 - És una solució de fins a 100 usuaris/clients que poden estar separats geogràficament amb una freqüència d'ús baixa
2 - És una solució de 1 a 9 usuaris/clients interns coneguts que utilitzen l'aplicació diàriament
3 - És una solució de fins a 100 usuaris/clients separats geogràficament i utilitzen l'aplicació de forma freqüent 
4 - És una solució amb més de 100 usuaris/clients separats geogràficament i utilitzen l'aplicació diàriament (o la solució és estacional) o bé l'usuari és el ciutadà. </t>
  </si>
  <si>
    <t>NAQ-3</t>
  </si>
  <si>
    <t>Reutilització i/o Interoperabilitat</t>
  </si>
  <si>
    <t>La solució és de suport a altres solucions o forma part d'una solució més gran?
La solució utilitza altres solucions per a la seva operativa?</t>
  </si>
  <si>
    <t>0 - La solució és aïllada i mai serà reutilitzada. No interactua amb cap altra solució.
1 - La solució es comunica amb una solució.
2 - La solució es comunica amb 2 o 3 solucions.
3 - Es tracta d'una solució que ha de ser reutilitzada com a component d'altres solucions, o bé que es comunica amb entre 3 i 10 solucions.
4 - Es tracta d'una solució transversal que dóna suport a moltes solucions, producte comercialitzat o implantant en entorns aliens a la Generalitat o bé que que es comunica amb més de 8 solucions</t>
  </si>
  <si>
    <t>NAQ-4</t>
  </si>
  <si>
    <t>Complexitat i mida de la solució</t>
  </si>
  <si>
    <t>Complexitat i mida de la solució
(NOTA: KLOC = Mil·lers de línies de codi)</t>
  </si>
  <si>
    <t>0 - Complexitat molt baixa - menys de 40KLOC i/o 4000h de construcció i evolució total. Complexitat funcional i/o tècnica molt baixa
1 - Complexitat baixa -  entre 30KLOC-150KLOC i/o 3.000-15.000h de construcció i evolució total. Complexitat funcional i/o tècnica baixa
2 - Complexitat mitja -  entre 100KLOC-500KLOC i/o 10.000-50.000h de construcció i evolució total. Complexitat funcional i/o tècnica mitja
3 - Complexitat alta - entre 400KLOC-1200KLOC i/o 40.000-120.000h de construcció i evolució total. Complexitat funcional i/o tècnica alta
4 - Complexitat molt alta -  més de 1000KLOC i/o més de 100.000h de construcció i evolució total. Complexitat funcional i/o tècnica molt alta</t>
  </si>
  <si>
    <t>NAQ-5</t>
  </si>
  <si>
    <t>Maduresa en la tecnologia o tipus de solució</t>
  </si>
  <si>
    <t>La tecnologia utilitzada a la solució és madura?
Es té constància d'experiències en projectes similars de la tecnologia utilitzada?</t>
  </si>
  <si>
    <t xml:space="preserve">0 - Tecnologia madura i estàndard al CTTI
1 - Tecnologia àmpliament utilitzada en el mercat
2 - Tecnologia obsoleta
3 - Tecnologia poc estandaritzada o nínxol
4 - Tecnologia incipient </t>
  </si>
  <si>
    <t>NAQ-6</t>
  </si>
  <si>
    <t>Evolució prevista</t>
  </si>
  <si>
    <t>Quina inversió d'esforç està prevista anualment per aquesta solució? 
(Hores previstes de recurrent i sota demanda)</t>
  </si>
  <si>
    <t>0 - Menys de 100 hores/any
1 - Entre 100 - 500 hores/any
2 - Entre 400 - 1000 hores/any
3 - Entre 800 - 5000 hores/any
4 - Més de 5000 hores/any</t>
  </si>
  <si>
    <t>Indicar altres criteris que s'han considerat per a establir el NAQ escollit:</t>
  </si>
  <si>
    <t>&lt;Per exemple: Nivell de seguretat, Compliment de LOPD, estacionalitat, ...&gt;</t>
  </si>
  <si>
    <t>Propi del Departament / Fora del Nou Model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</si>
</sst>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_-* #,##0\ _€_-;\-* #,##0\ _€_-;_-* &quot;-&quot;??\ _€_-;_-@_-"/>
    <numFmt numFmtId="165" formatCode="_(* #,##0.00_);_(* \(#,##0.00\);_(* &quot;-&quot;??_);_(@_)"/>
    <numFmt numFmtId="166" formatCode="_-* #,##0.00\ [$€]_-;\-* #,##0.00\ [$€]_-;_-* &quot;-&quot;??\ [$€]_-;_-@_-"/>
    <numFmt numFmtId="167" formatCode="#,##0\ \ "/>
    <numFmt numFmtId="168" formatCode="0\ %\ "/>
    <numFmt numFmtId="169" formatCode="0.000_)"/>
    <numFmt numFmtId="170" formatCode="_ * #,##0_ ;_ * \-#,##0_ ;_ * &quot;-&quot;_ ;_ @_ "/>
    <numFmt numFmtId="171" formatCode="_ * #,##0.00_ ;_ * \-#,##0.00_ ;_ * &quot;-&quot;??_ ;_ @_ "/>
    <numFmt numFmtId="172" formatCode="_-&quot;£&quot;* #,##0_-;\-&quot;£&quot;* #,##0_-;_-&quot;£&quot;* &quot;-&quot;_-;_-@_-"/>
    <numFmt numFmtId="173" formatCode="_-&quot;£&quot;* #,##0.00_-;\-&quot;£&quot;* #,##0.00_-;_-&quot;£&quot;* &quot;-&quot;??_-;_-@_-"/>
    <numFmt numFmtId="174" formatCode="#,##0\ &quot;€&quot;"/>
    <numFmt numFmtId="175" formatCode="_-* #,##0.00&quot; €&quot;_-;\-* #,##0.00&quot; €&quot;_-;_-* \-??&quot; €&quot;_-;_-@_-"/>
    <numFmt numFmtId="176" formatCode="0.00_)"/>
    <numFmt numFmtId="177" formatCode="\+\ 0.0;[Red]\-\ 0.0"/>
    <numFmt numFmtId="178" formatCode="_(* #,##0.00_);_(* \(#,##0.00\);_(* \-??_);_(@_)"/>
  </numFmts>
  <fonts count="8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2"/>
      <color theme="3" tint="0.59999389629810485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0"/>
      <name val="Arial"/>
      <family val="2"/>
    </font>
    <font>
      <b/>
      <sz val="10"/>
      <color theme="0"/>
      <name val="Arial"/>
      <family val="2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0"/>
      <name val="Arial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MS Sans Serif"/>
      <family val="2"/>
    </font>
    <font>
      <sz val="7"/>
      <name val="Tele-GroteskHal"/>
    </font>
    <font>
      <i/>
      <sz val="10"/>
      <name val="Arial"/>
      <family val="2"/>
    </font>
    <font>
      <sz val="8"/>
      <color indexed="22"/>
      <name val="Tele-GroteskHal"/>
    </font>
    <font>
      <b/>
      <i/>
      <sz val="10"/>
      <name val="Arial"/>
      <family val="2"/>
    </font>
    <font>
      <sz val="30"/>
      <name val="Tele-GroteskHal"/>
    </font>
    <font>
      <b/>
      <i/>
      <sz val="9"/>
      <name val="Arial"/>
      <family val="2"/>
    </font>
    <font>
      <b/>
      <sz val="14"/>
      <name val="Tele-GroteskHal"/>
    </font>
    <font>
      <b/>
      <sz val="9"/>
      <name val="Arial"/>
      <family val="2"/>
    </font>
    <font>
      <sz val="12"/>
      <name val="Tele-GroteskHal"/>
    </font>
    <font>
      <sz val="8"/>
      <name val="Arial"/>
      <family val="2"/>
    </font>
    <font>
      <u/>
      <sz val="10"/>
      <name val="Tele-GroteskHal"/>
    </font>
    <font>
      <sz val="10"/>
      <name val="CorpoS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name val="Tms Rmn"/>
    </font>
    <font>
      <sz val="10"/>
      <name val="Helv"/>
    </font>
    <font>
      <u/>
      <sz val="10"/>
      <color indexed="12"/>
      <name val="Arial"/>
      <family val="2"/>
    </font>
    <font>
      <u/>
      <sz val="11"/>
      <color indexed="12"/>
      <name val="Calibri"/>
      <family val="2"/>
    </font>
    <font>
      <sz val="11"/>
      <color indexed="62"/>
      <name val="Calibri"/>
      <family val="2"/>
    </font>
    <font>
      <sz val="10"/>
      <name val="Helv"/>
      <charset val="204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i/>
      <sz val="16"/>
      <name val="Helv"/>
    </font>
    <font>
      <sz val="10"/>
      <color indexed="8"/>
      <name val="Arial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8"/>
      <color indexed="56"/>
      <name val="Cambria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u/>
      <sz val="11"/>
      <color theme="10"/>
      <name val="Calibri"/>
      <family val="2"/>
    </font>
    <font>
      <sz val="8"/>
      <color indexed="8"/>
      <name val="Tahoma"/>
      <family val="2"/>
    </font>
    <font>
      <sz val="10"/>
      <name val="Mang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16"/>
      <color theme="1"/>
      <name val="Arial"/>
      <family val="2"/>
    </font>
    <font>
      <b/>
      <sz val="11"/>
      <color theme="1"/>
      <name val="Arial"/>
      <family val="2"/>
    </font>
    <font>
      <sz val="9"/>
      <color theme="1"/>
      <name val="Arial"/>
      <family val="2"/>
    </font>
    <font>
      <sz val="10"/>
      <color theme="1"/>
      <name val="Arial"/>
      <family val="2"/>
    </font>
    <font>
      <strike/>
      <sz val="11"/>
      <color theme="1"/>
      <name val="Arial"/>
      <family val="2"/>
    </font>
    <font>
      <i/>
      <sz val="10"/>
      <color theme="1"/>
      <name val="Arial"/>
      <family val="2"/>
    </font>
    <font>
      <i/>
      <sz val="11"/>
      <color theme="3"/>
      <name val="Arial"/>
      <family val="2"/>
    </font>
    <font>
      <sz val="11"/>
      <color theme="3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00">
    <fill>
      <patternFill patternType="none"/>
    </fill>
    <fill>
      <patternFill patternType="gray125"/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rgb="FF00206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BE5F1"/>
      </patternFill>
    </fill>
    <fill>
      <patternFill patternType="solid">
        <fgColor theme="0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rgb="FFFFC7CE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D03A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CE0C8"/>
        <bgColor indexed="64"/>
      </patternFill>
    </fill>
    <fill>
      <patternFill patternType="solid">
        <fgColor rgb="FF002060"/>
        <bgColor theme="5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2"/>
      </patternFill>
    </fill>
    <fill>
      <patternFill patternType="solid">
        <fgColor indexed="47"/>
        <bgColor indexed="48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61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34"/>
      </patternFill>
    </fill>
    <fill>
      <patternFill patternType="solid">
        <fgColor indexed="30"/>
        <bgColor indexed="38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15"/>
      </patternFill>
    </fill>
    <fill>
      <patternFill patternType="solid">
        <fgColor indexed="52"/>
        <bgColor indexed="6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22"/>
      </patternFill>
    </fill>
    <fill>
      <patternFill patternType="solid">
        <fgColor indexed="55"/>
        <bgColor indexed="23"/>
      </patternFill>
    </fill>
    <fill>
      <patternFill patternType="solid">
        <fgColor indexed="47"/>
      </patternFill>
    </fill>
    <fill>
      <patternFill patternType="solid">
        <fgColor indexed="13"/>
      </patternFill>
    </fill>
    <fill>
      <patternFill patternType="solid">
        <fgColor indexed="43"/>
        <bgColor indexed="26"/>
      </patternFill>
    </fill>
    <fill>
      <patternFill patternType="solid">
        <fgColor indexed="43"/>
      </patternFill>
    </fill>
    <fill>
      <patternFill patternType="solid">
        <fgColor indexed="26"/>
        <bgColor indexed="9"/>
      </patternFill>
    </fill>
    <fill>
      <patternFill patternType="solid">
        <fgColor indexed="26"/>
      </patternFill>
    </fill>
    <fill>
      <patternFill patternType="solid">
        <fgColor indexed="40"/>
      </patternFill>
    </fill>
    <fill>
      <patternFill patternType="solid">
        <fgColor indexed="52"/>
        <bgColor indexed="50"/>
      </patternFill>
    </fill>
    <fill>
      <patternFill patternType="solid">
        <fgColor theme="5" tint="0.59996337778862885"/>
        <bgColor indexed="64"/>
      </patternFill>
    </fill>
    <fill>
      <patternFill patternType="solid">
        <fgColor theme="0" tint="-0.49998474074526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/>
      <bottom style="thin">
        <color theme="1" tint="0.34998626667073579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  <border>
      <left/>
      <right/>
      <top style="medium">
        <color theme="1" tint="0.34998626667073579"/>
      </top>
      <bottom style="double">
        <color theme="1" tint="0.34998626667073579"/>
      </bottom>
      <diagonal/>
    </border>
    <border>
      <left/>
      <right style="thin">
        <color theme="1" tint="0.34998626667073579"/>
      </right>
      <top style="medium">
        <color theme="1" tint="0.34998626667073579"/>
      </top>
      <bottom style="double">
        <color theme="1" tint="0.34998626667073579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/>
      <right style="thin">
        <color theme="1" tint="0.499984740745262"/>
      </right>
      <top/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</borders>
  <cellStyleXfs count="378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11" fillId="16" borderId="0" applyNumberFormat="0" applyBorder="0" applyAlignment="0" applyProtection="0"/>
    <xf numFmtId="0" fontId="17" fillId="0" borderId="0" applyNumberFormat="0" applyFill="0" applyBorder="0" applyAlignment="0" applyProtection="0"/>
    <xf numFmtId="165" fontId="29" fillId="0" borderId="0" applyFont="0" applyFill="0" applyBorder="0" applyAlignment="0" applyProtection="0"/>
    <xf numFmtId="166" fontId="1" fillId="0" borderId="0"/>
    <xf numFmtId="166" fontId="17" fillId="0" borderId="0" applyNumberFormat="0" applyFill="0" applyBorder="0" applyAlignment="0" applyProtection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30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6" fillId="0" borderId="0"/>
    <xf numFmtId="166" fontId="29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12" fillId="67" borderId="0"/>
    <xf numFmtId="166" fontId="31" fillId="67" borderId="0"/>
    <xf numFmtId="166" fontId="32" fillId="67" borderId="0"/>
    <xf numFmtId="166" fontId="33" fillId="67" borderId="0"/>
    <xf numFmtId="166" fontId="34" fillId="67" borderId="0"/>
    <xf numFmtId="166" fontId="35" fillId="67" borderId="0"/>
    <xf numFmtId="166" fontId="36" fillId="67" borderId="0"/>
    <xf numFmtId="166" fontId="37" fillId="67" borderId="0"/>
    <xf numFmtId="166" fontId="38" fillId="67" borderId="0"/>
    <xf numFmtId="166" fontId="39" fillId="67" borderId="0"/>
    <xf numFmtId="166" fontId="40" fillId="67" borderId="0"/>
    <xf numFmtId="166" fontId="41" fillId="67" borderId="0"/>
    <xf numFmtId="167" fontId="42" fillId="68" borderId="23"/>
    <xf numFmtId="167" fontId="12" fillId="68" borderId="23"/>
    <xf numFmtId="167" fontId="12" fillId="68" borderId="23"/>
    <xf numFmtId="167" fontId="12" fillId="68" borderId="23"/>
    <xf numFmtId="168" fontId="42" fillId="68" borderId="23"/>
    <xf numFmtId="166" fontId="32" fillId="68" borderId="0"/>
    <xf numFmtId="166" fontId="33" fillId="68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12" fillId="67" borderId="0"/>
    <xf numFmtId="166" fontId="31" fillId="67" borderId="0"/>
    <xf numFmtId="166" fontId="32" fillId="67" borderId="0"/>
    <xf numFmtId="166" fontId="33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12" fillId="67" borderId="0"/>
    <xf numFmtId="166" fontId="12" fillId="67" borderId="0"/>
    <xf numFmtId="166" fontId="12" fillId="67" borderId="0"/>
    <xf numFmtId="166" fontId="36" fillId="67" borderId="0"/>
    <xf numFmtId="166" fontId="37" fillId="67" borderId="0"/>
    <xf numFmtId="166" fontId="38" fillId="67" borderId="0"/>
    <xf numFmtId="166" fontId="39" fillId="67" borderId="0"/>
    <xf numFmtId="166" fontId="40" fillId="67" borderId="0"/>
    <xf numFmtId="166" fontId="41" fillId="67" borderId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1" fillId="46" borderId="0" applyNumberFormat="0" applyBorder="0" applyAlignment="0" applyProtection="0"/>
    <xf numFmtId="166" fontId="1" fillId="46" borderId="0" applyNumberFormat="0" applyBorder="0" applyAlignment="0" applyProtection="0"/>
    <xf numFmtId="166" fontId="1" fillId="46" borderId="0" applyNumberFormat="0" applyBorder="0" applyAlignment="0" applyProtection="0"/>
    <xf numFmtId="166" fontId="1" fillId="46" borderId="0" applyNumberFormat="0" applyBorder="0" applyAlignment="0" applyProtection="0"/>
    <xf numFmtId="166" fontId="1" fillId="46" borderId="0" applyNumberFormat="0" applyBorder="0" applyAlignment="0" applyProtection="0"/>
    <xf numFmtId="166" fontId="1" fillId="46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69" borderId="0" applyNumberFormat="0" applyBorder="0" applyAlignment="0" applyProtection="0"/>
    <xf numFmtId="166" fontId="29" fillId="0" borderId="0"/>
    <xf numFmtId="166" fontId="29" fillId="0" borderId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69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1" fillId="50" borderId="0" applyNumberFormat="0" applyBorder="0" applyAlignment="0" applyProtection="0"/>
    <xf numFmtId="166" fontId="1" fillId="50" borderId="0" applyNumberFormat="0" applyBorder="0" applyAlignment="0" applyProtection="0"/>
    <xf numFmtId="166" fontId="1" fillId="50" borderId="0" applyNumberFormat="0" applyBorder="0" applyAlignment="0" applyProtection="0"/>
    <xf numFmtId="166" fontId="1" fillId="50" borderId="0" applyNumberFormat="0" applyBorder="0" applyAlignment="0" applyProtection="0"/>
    <xf numFmtId="166" fontId="1" fillId="50" borderId="0" applyNumberFormat="0" applyBorder="0" applyAlignment="0" applyProtection="0"/>
    <xf numFmtId="166" fontId="1" fillId="5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70" borderId="0" applyNumberFormat="0" applyBorder="0" applyAlignment="0" applyProtection="0"/>
    <xf numFmtId="166" fontId="29" fillId="0" borderId="0"/>
    <xf numFmtId="166" fontId="29" fillId="0" borderId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0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1" fillId="54" borderId="0" applyNumberFormat="0" applyBorder="0" applyAlignment="0" applyProtection="0"/>
    <xf numFmtId="166" fontId="1" fillId="54" borderId="0" applyNumberFormat="0" applyBorder="0" applyAlignment="0" applyProtection="0"/>
    <xf numFmtId="166" fontId="1" fillId="54" borderId="0" applyNumberFormat="0" applyBorder="0" applyAlignment="0" applyProtection="0"/>
    <xf numFmtId="166" fontId="1" fillId="54" borderId="0" applyNumberFormat="0" applyBorder="0" applyAlignment="0" applyProtection="0"/>
    <xf numFmtId="166" fontId="1" fillId="54" borderId="0" applyNumberFormat="0" applyBorder="0" applyAlignment="0" applyProtection="0"/>
    <xf numFmtId="166" fontId="1" fillId="54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71" borderId="0" applyNumberFormat="0" applyBorder="0" applyAlignment="0" applyProtection="0"/>
    <xf numFmtId="166" fontId="29" fillId="0" borderId="0"/>
    <xf numFmtId="166" fontId="29" fillId="0" borderId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1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1" fillId="57" borderId="0" applyNumberFormat="0" applyBorder="0" applyAlignment="0" applyProtection="0"/>
    <xf numFmtId="166" fontId="1" fillId="57" borderId="0" applyNumberFormat="0" applyBorder="0" applyAlignment="0" applyProtection="0"/>
    <xf numFmtId="166" fontId="1" fillId="57" borderId="0" applyNumberFormat="0" applyBorder="0" applyAlignment="0" applyProtection="0"/>
    <xf numFmtId="166" fontId="1" fillId="57" borderId="0" applyNumberFormat="0" applyBorder="0" applyAlignment="0" applyProtection="0"/>
    <xf numFmtId="166" fontId="1" fillId="57" borderId="0" applyNumberFormat="0" applyBorder="0" applyAlignment="0" applyProtection="0"/>
    <xf numFmtId="166" fontId="1" fillId="57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72" borderId="0" applyNumberFormat="0" applyBorder="0" applyAlignment="0" applyProtection="0"/>
    <xf numFmtId="166" fontId="29" fillId="0" borderId="0"/>
    <xf numFmtId="166" fontId="29" fillId="0" borderId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1" fillId="60" borderId="0" applyNumberFormat="0" applyBorder="0" applyAlignment="0" applyProtection="0"/>
    <xf numFmtId="166" fontId="1" fillId="60" borderId="0" applyNumberFormat="0" applyBorder="0" applyAlignment="0" applyProtection="0"/>
    <xf numFmtId="166" fontId="1" fillId="60" borderId="0" applyNumberFormat="0" applyBorder="0" applyAlignment="0" applyProtection="0"/>
    <xf numFmtId="166" fontId="1" fillId="60" borderId="0" applyNumberFormat="0" applyBorder="0" applyAlignment="0" applyProtection="0"/>
    <xf numFmtId="166" fontId="1" fillId="60" borderId="0" applyNumberFormat="0" applyBorder="0" applyAlignment="0" applyProtection="0"/>
    <xf numFmtId="166" fontId="1" fillId="60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73" borderId="0" applyNumberFormat="0" applyBorder="0" applyAlignment="0" applyProtection="0"/>
    <xf numFmtId="166" fontId="29" fillId="0" borderId="0"/>
    <xf numFmtId="166" fontId="29" fillId="0" borderId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3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1" fillId="64" borderId="0" applyNumberFormat="0" applyBorder="0" applyAlignment="0" applyProtection="0"/>
    <xf numFmtId="166" fontId="1" fillId="64" borderId="0" applyNumberFormat="0" applyBorder="0" applyAlignment="0" applyProtection="0"/>
    <xf numFmtId="166" fontId="1" fillId="64" borderId="0" applyNumberFormat="0" applyBorder="0" applyAlignment="0" applyProtection="0"/>
    <xf numFmtId="166" fontId="1" fillId="64" borderId="0" applyNumberFormat="0" applyBorder="0" applyAlignment="0" applyProtection="0"/>
    <xf numFmtId="166" fontId="1" fillId="64" borderId="0" applyNumberFormat="0" applyBorder="0" applyAlignment="0" applyProtection="0"/>
    <xf numFmtId="166" fontId="1" fillId="6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74" borderId="0" applyNumberFormat="0" applyBorder="0" applyAlignment="0" applyProtection="0"/>
    <xf numFmtId="166" fontId="29" fillId="0" borderId="0"/>
    <xf numFmtId="166" fontId="29" fillId="0" borderId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4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1" fillId="47" borderId="0" applyNumberFormat="0" applyBorder="0" applyAlignment="0" applyProtection="0"/>
    <xf numFmtId="166" fontId="1" fillId="47" borderId="0" applyNumberFormat="0" applyBorder="0" applyAlignment="0" applyProtection="0"/>
    <xf numFmtId="166" fontId="1" fillId="47" borderId="0" applyNumberFormat="0" applyBorder="0" applyAlignment="0" applyProtection="0"/>
    <xf numFmtId="166" fontId="1" fillId="47" borderId="0" applyNumberFormat="0" applyBorder="0" applyAlignment="0" applyProtection="0"/>
    <xf numFmtId="166" fontId="1" fillId="47" borderId="0" applyNumberFormat="0" applyBorder="0" applyAlignment="0" applyProtection="0"/>
    <xf numFmtId="166" fontId="1" fillId="47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75" borderId="0" applyNumberFormat="0" applyBorder="0" applyAlignment="0" applyProtection="0"/>
    <xf numFmtId="166" fontId="29" fillId="0" borderId="0"/>
    <xf numFmtId="166" fontId="29" fillId="0" borderId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1" fillId="51" borderId="0" applyNumberFormat="0" applyBorder="0" applyAlignment="0" applyProtection="0"/>
    <xf numFmtId="166" fontId="1" fillId="51" borderId="0" applyNumberFormat="0" applyBorder="0" applyAlignment="0" applyProtection="0"/>
    <xf numFmtId="166" fontId="1" fillId="51" borderId="0" applyNumberFormat="0" applyBorder="0" applyAlignment="0" applyProtection="0"/>
    <xf numFmtId="166" fontId="1" fillId="51" borderId="0" applyNumberFormat="0" applyBorder="0" applyAlignment="0" applyProtection="0"/>
    <xf numFmtId="166" fontId="1" fillId="51" borderId="0" applyNumberFormat="0" applyBorder="0" applyAlignment="0" applyProtection="0"/>
    <xf numFmtId="166" fontId="1" fillId="51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76" borderId="0" applyNumberFormat="0" applyBorder="0" applyAlignment="0" applyProtection="0"/>
    <xf numFmtId="166" fontId="29" fillId="0" borderId="0"/>
    <xf numFmtId="166" fontId="29" fillId="0" borderId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6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1" fillId="55" borderId="0" applyNumberFormat="0" applyBorder="0" applyAlignment="0" applyProtection="0"/>
    <xf numFmtId="166" fontId="1" fillId="55" borderId="0" applyNumberFormat="0" applyBorder="0" applyAlignment="0" applyProtection="0"/>
    <xf numFmtId="166" fontId="1" fillId="55" borderId="0" applyNumberFormat="0" applyBorder="0" applyAlignment="0" applyProtection="0"/>
    <xf numFmtId="166" fontId="1" fillId="55" borderId="0" applyNumberFormat="0" applyBorder="0" applyAlignment="0" applyProtection="0"/>
    <xf numFmtId="166" fontId="1" fillId="55" borderId="0" applyNumberFormat="0" applyBorder="0" applyAlignment="0" applyProtection="0"/>
    <xf numFmtId="166" fontId="1" fillId="55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77" borderId="0" applyNumberFormat="0" applyBorder="0" applyAlignment="0" applyProtection="0"/>
    <xf numFmtId="166" fontId="29" fillId="0" borderId="0"/>
    <xf numFmtId="166" fontId="29" fillId="0" borderId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7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1" fillId="58" borderId="0" applyNumberFormat="0" applyBorder="0" applyAlignment="0" applyProtection="0"/>
    <xf numFmtId="166" fontId="1" fillId="58" borderId="0" applyNumberFormat="0" applyBorder="0" applyAlignment="0" applyProtection="0"/>
    <xf numFmtId="166" fontId="1" fillId="58" borderId="0" applyNumberFormat="0" applyBorder="0" applyAlignment="0" applyProtection="0"/>
    <xf numFmtId="166" fontId="1" fillId="58" borderId="0" applyNumberFormat="0" applyBorder="0" applyAlignment="0" applyProtection="0"/>
    <xf numFmtId="166" fontId="1" fillId="58" borderId="0" applyNumberFormat="0" applyBorder="0" applyAlignment="0" applyProtection="0"/>
    <xf numFmtId="166" fontId="1" fillId="58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72" borderId="0" applyNumberFormat="0" applyBorder="0" applyAlignment="0" applyProtection="0"/>
    <xf numFmtId="166" fontId="29" fillId="0" borderId="0"/>
    <xf numFmtId="166" fontId="29" fillId="0" borderId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2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1" fillId="61" borderId="0" applyNumberFormat="0" applyBorder="0" applyAlignment="0" applyProtection="0"/>
    <xf numFmtId="166" fontId="1" fillId="61" borderId="0" applyNumberFormat="0" applyBorder="0" applyAlignment="0" applyProtection="0"/>
    <xf numFmtId="166" fontId="1" fillId="61" borderId="0" applyNumberFormat="0" applyBorder="0" applyAlignment="0" applyProtection="0"/>
    <xf numFmtId="166" fontId="1" fillId="61" borderId="0" applyNumberFormat="0" applyBorder="0" applyAlignment="0" applyProtection="0"/>
    <xf numFmtId="166" fontId="1" fillId="61" borderId="0" applyNumberFormat="0" applyBorder="0" applyAlignment="0" applyProtection="0"/>
    <xf numFmtId="166" fontId="1" fillId="61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75" borderId="0" applyNumberFormat="0" applyBorder="0" applyAlignment="0" applyProtection="0"/>
    <xf numFmtId="166" fontId="29" fillId="0" borderId="0"/>
    <xf numFmtId="166" fontId="29" fillId="0" borderId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5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1" fillId="65" borderId="0" applyNumberFormat="0" applyBorder="0" applyAlignment="0" applyProtection="0"/>
    <xf numFmtId="166" fontId="1" fillId="65" borderId="0" applyNumberFormat="0" applyBorder="0" applyAlignment="0" applyProtection="0"/>
    <xf numFmtId="166" fontId="1" fillId="65" borderId="0" applyNumberFormat="0" applyBorder="0" applyAlignment="0" applyProtection="0"/>
    <xf numFmtId="166" fontId="1" fillId="65" borderId="0" applyNumberFormat="0" applyBorder="0" applyAlignment="0" applyProtection="0"/>
    <xf numFmtId="166" fontId="1" fillId="65" borderId="0" applyNumberFormat="0" applyBorder="0" applyAlignment="0" applyProtection="0"/>
    <xf numFmtId="166" fontId="1" fillId="65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78" borderId="0" applyNumberFormat="0" applyBorder="0" applyAlignment="0" applyProtection="0"/>
    <xf numFmtId="166" fontId="29" fillId="0" borderId="0"/>
    <xf numFmtId="166" fontId="29" fillId="0" borderId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29" fillId="78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3" fillId="48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43" fillId="79" borderId="0" applyNumberFormat="0" applyBorder="0" applyAlignment="0" applyProtection="0"/>
    <xf numFmtId="166" fontId="29" fillId="0" borderId="0"/>
    <xf numFmtId="166" fontId="29" fillId="0" borderId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9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3" fillId="52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43" fillId="76" borderId="0" applyNumberFormat="0" applyBorder="0" applyAlignment="0" applyProtection="0"/>
    <xf numFmtId="166" fontId="29" fillId="0" borderId="0"/>
    <xf numFmtId="166" fontId="29" fillId="0" borderId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6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3" fillId="56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43" fillId="77" borderId="0" applyNumberFormat="0" applyBorder="0" applyAlignment="0" applyProtection="0"/>
    <xf numFmtId="166" fontId="29" fillId="0" borderId="0"/>
    <xf numFmtId="166" fontId="29" fillId="0" borderId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77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3" fillId="3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43" fillId="80" borderId="0" applyNumberFormat="0" applyBorder="0" applyAlignment="0" applyProtection="0"/>
    <xf numFmtId="166" fontId="29" fillId="0" borderId="0"/>
    <xf numFmtId="166" fontId="29" fillId="0" borderId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3" fillId="62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43" fillId="81" borderId="0" applyNumberFormat="0" applyBorder="0" applyAlignment="0" applyProtection="0"/>
    <xf numFmtId="166" fontId="29" fillId="0" borderId="0"/>
    <xf numFmtId="166" fontId="29" fillId="0" borderId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3" fillId="66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43" fillId="82" borderId="0" applyNumberFormat="0" applyBorder="0" applyAlignment="0" applyProtection="0"/>
    <xf numFmtId="166" fontId="29" fillId="0" borderId="0"/>
    <xf numFmtId="166" fontId="29" fillId="0" borderId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2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3" fillId="45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43" fillId="83" borderId="0" applyNumberFormat="0" applyBorder="0" applyAlignment="0" applyProtection="0"/>
    <xf numFmtId="166" fontId="29" fillId="0" borderId="0"/>
    <xf numFmtId="166" fontId="29" fillId="0" borderId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3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3" fillId="49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43" fillId="84" borderId="0" applyNumberFormat="0" applyBorder="0" applyAlignment="0" applyProtection="0"/>
    <xf numFmtId="166" fontId="29" fillId="0" borderId="0"/>
    <xf numFmtId="166" fontId="29" fillId="0" borderId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4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3" fillId="53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43" fillId="85" borderId="0" applyNumberFormat="0" applyBorder="0" applyAlignment="0" applyProtection="0"/>
    <xf numFmtId="166" fontId="29" fillId="0" borderId="0"/>
    <xf numFmtId="166" fontId="29" fillId="0" borderId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5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3" fillId="2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43" fillId="80" borderId="0" applyNumberFormat="0" applyBorder="0" applyAlignment="0" applyProtection="0"/>
    <xf numFmtId="166" fontId="29" fillId="0" borderId="0"/>
    <xf numFmtId="166" fontId="29" fillId="0" borderId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0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3" fillId="59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43" fillId="81" borderId="0" applyNumberFormat="0" applyBorder="0" applyAlignment="0" applyProtection="0"/>
    <xf numFmtId="166" fontId="29" fillId="0" borderId="0"/>
    <xf numFmtId="166" fontId="29" fillId="0" borderId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1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3" fillId="63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43" fillId="86" borderId="0" applyNumberFormat="0" applyBorder="0" applyAlignment="0" applyProtection="0"/>
    <xf numFmtId="166" fontId="29" fillId="0" borderId="0"/>
    <xf numFmtId="166" fontId="29" fillId="0" borderId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3" fillId="86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22" fillId="40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44" fillId="71" borderId="0" applyNumberFormat="0" applyBorder="0" applyAlignment="0" applyProtection="0"/>
    <xf numFmtId="166" fontId="29" fillId="0" borderId="0"/>
    <xf numFmtId="166" fontId="29" fillId="0" borderId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4" fillId="71" borderId="0" applyNumberFormat="0" applyBorder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25" fillId="42" borderId="16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45" fillId="87" borderId="24" applyNumberFormat="0" applyAlignment="0" applyProtection="0"/>
    <xf numFmtId="166" fontId="29" fillId="0" borderId="0"/>
    <xf numFmtId="166" fontId="29" fillId="0" borderId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7" borderId="24" applyNumberFormat="0" applyAlignment="0" applyProtection="0"/>
    <xf numFmtId="166" fontId="45" fillId="88" borderId="24" applyNumberFormat="0" applyAlignment="0" applyProtection="0"/>
    <xf numFmtId="166" fontId="45" fillId="88" borderId="24" applyNumberFormat="0" applyAlignment="0" applyProtection="0"/>
    <xf numFmtId="166" fontId="45" fillId="88" borderId="24" applyNumberFormat="0" applyAlignment="0" applyProtection="0"/>
    <xf numFmtId="166" fontId="45" fillId="88" borderId="24" applyNumberFormat="0" applyAlignment="0" applyProtection="0"/>
    <xf numFmtId="166" fontId="45" fillId="88" borderId="24" applyNumberFormat="0" applyAlignment="0" applyProtection="0"/>
    <xf numFmtId="166" fontId="45" fillId="88" borderId="24" applyNumberFormat="0" applyAlignment="0" applyProtection="0"/>
    <xf numFmtId="166" fontId="45" fillId="88" borderId="24" applyNumberFormat="0" applyAlignment="0" applyProtection="0"/>
    <xf numFmtId="166" fontId="45" fillId="88" borderId="24" applyNumberFormat="0" applyAlignment="0" applyProtection="0"/>
    <xf numFmtId="166" fontId="45" fillId="88" borderId="24" applyNumberFormat="0" applyAlignment="0" applyProtection="0"/>
    <xf numFmtId="166" fontId="45" fillId="88" borderId="24" applyNumberFormat="0" applyAlignment="0" applyProtection="0"/>
    <xf numFmtId="166" fontId="45" fillId="88" borderId="24" applyNumberFormat="0" applyAlignment="0" applyProtection="0"/>
    <xf numFmtId="166" fontId="45" fillId="88" borderId="24" applyNumberFormat="0" applyAlignment="0" applyProtection="0"/>
    <xf numFmtId="166" fontId="45" fillId="88" borderId="24" applyNumberFormat="0" applyAlignment="0" applyProtection="0"/>
    <xf numFmtId="166" fontId="45" fillId="88" borderId="24" applyNumberFormat="0" applyAlignment="0" applyProtection="0"/>
    <xf numFmtId="166" fontId="45" fillId="88" borderId="24" applyNumberFormat="0" applyAlignment="0" applyProtection="0"/>
    <xf numFmtId="166" fontId="45" fillId="88" borderId="24" applyNumberFormat="0" applyAlignment="0" applyProtection="0"/>
    <xf numFmtId="166" fontId="45" fillId="88" borderId="24" applyNumberFormat="0" applyAlignment="0" applyProtection="0"/>
    <xf numFmtId="166" fontId="45" fillId="88" borderId="24" applyNumberFormat="0" applyAlignment="0" applyProtection="0"/>
    <xf numFmtId="166" fontId="45" fillId="88" borderId="24" applyNumberFormat="0" applyAlignment="0" applyProtection="0"/>
    <xf numFmtId="166" fontId="45" fillId="88" borderId="24" applyNumberFormat="0" applyAlignment="0" applyProtection="0"/>
    <xf numFmtId="166" fontId="45" fillId="88" borderId="24" applyNumberFormat="0" applyAlignment="0" applyProtection="0"/>
    <xf numFmtId="166" fontId="45" fillId="88" borderId="24" applyNumberFormat="0" applyAlignment="0" applyProtection="0"/>
    <xf numFmtId="166" fontId="45" fillId="88" borderId="24" applyNumberFormat="0" applyAlignment="0" applyProtection="0"/>
    <xf numFmtId="166" fontId="45" fillId="88" borderId="24" applyNumberFormat="0" applyAlignment="0" applyProtection="0"/>
    <xf numFmtId="166" fontId="45" fillId="88" borderId="24" applyNumberFormat="0" applyAlignment="0" applyProtection="0"/>
    <xf numFmtId="166" fontId="45" fillId="88" borderId="24" applyNumberFormat="0" applyAlignment="0" applyProtection="0"/>
    <xf numFmtId="166" fontId="45" fillId="88" borderId="24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2" fillId="43" borderId="19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46" fillId="89" borderId="25" applyNumberFormat="0" applyAlignment="0" applyProtection="0"/>
    <xf numFmtId="166" fontId="29" fillId="0" borderId="0"/>
    <xf numFmtId="166" fontId="29" fillId="0" borderId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6" fillId="89" borderId="25" applyNumberFormat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26" fillId="0" borderId="18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47" fillId="0" borderId="26" applyNumberFormat="0" applyFill="0" applyAlignment="0" applyProtection="0"/>
    <xf numFmtId="166" fontId="29" fillId="0" borderId="0"/>
    <xf numFmtId="166" fontId="29" fillId="0" borderId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166" fontId="47" fillId="0" borderId="26" applyNumberFormat="0" applyFill="0" applyAlignment="0" applyProtection="0"/>
    <xf numFmtId="43" fontId="1" fillId="0" borderId="0" applyFont="0" applyFill="0" applyBorder="0" applyAlignment="0" applyProtection="0"/>
    <xf numFmtId="169" fontId="48" fillId="0" borderId="0"/>
    <xf numFmtId="169" fontId="48" fillId="0" borderId="0"/>
    <xf numFmtId="169" fontId="48" fillId="0" borderId="0"/>
    <xf numFmtId="169" fontId="48" fillId="0" borderId="0"/>
    <xf numFmtId="169" fontId="48" fillId="0" borderId="0"/>
    <xf numFmtId="169" fontId="48" fillId="0" borderId="0"/>
    <xf numFmtId="169" fontId="48" fillId="0" borderId="0"/>
    <xf numFmtId="169" fontId="48" fillId="0" borderId="0"/>
    <xf numFmtId="170" fontId="6" fillId="0" borderId="0" applyFont="0" applyFill="0" applyBorder="0" applyAlignment="0" applyProtection="0"/>
    <xf numFmtId="171" fontId="6" fillId="0" borderId="0" applyFont="0" applyFill="0" applyBorder="0" applyAlignment="0" applyProtection="0"/>
    <xf numFmtId="172" fontId="6" fillId="0" borderId="0" applyFont="0" applyFill="0" applyBorder="0" applyAlignment="0" applyProtection="0"/>
    <xf numFmtId="173" fontId="6" fillId="0" borderId="0" applyFont="0" applyFill="0" applyBorder="0" applyAlignment="0" applyProtection="0"/>
    <xf numFmtId="4" fontId="49" fillId="0" borderId="0" applyFont="0" applyFill="0" applyBorder="0" applyAlignment="0" applyProtection="0"/>
    <xf numFmtId="166" fontId="50" fillId="0" borderId="0" applyNumberFormat="0" applyFill="0" applyBorder="0" applyAlignment="0" applyProtection="0">
      <alignment vertical="top"/>
      <protection locked="0"/>
    </xf>
    <xf numFmtId="166" fontId="51" fillId="0" borderId="0" applyNumberFormat="0" applyFill="0" applyBorder="0" applyAlignment="0" applyProtection="0">
      <alignment vertical="top"/>
      <protection locked="0"/>
    </xf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90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52" fillId="74" borderId="24" applyNumberFormat="0" applyAlignment="0" applyProtection="0"/>
    <xf numFmtId="166" fontId="29" fillId="0" borderId="0"/>
    <xf numFmtId="166" fontId="29" fillId="0" borderId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2" fillId="74" borderId="24" applyNumberFormat="0" applyAlignment="0" applyProtection="0"/>
    <xf numFmtId="166" fontId="53" fillId="0" borderId="0"/>
    <xf numFmtId="174" fontId="6" fillId="0" borderId="0" applyFont="0" applyFill="0" applyBorder="0" applyAlignment="0" applyProtection="0"/>
    <xf numFmtId="175" fontId="29" fillId="0" borderId="0" applyFill="0" applyBorder="0" applyAlignment="0" applyProtection="0"/>
    <xf numFmtId="175" fontId="29" fillId="0" borderId="0" applyFill="0" applyBorder="0" applyAlignment="0" applyProtection="0"/>
    <xf numFmtId="175" fontId="29" fillId="0" borderId="0" applyFill="0" applyBorder="0" applyAlignment="0" applyProtection="0"/>
    <xf numFmtId="175" fontId="29" fillId="0" borderId="0" applyFill="0" applyBorder="0" applyAlignment="0" applyProtection="0"/>
    <xf numFmtId="175" fontId="29" fillId="0" borderId="0" applyFill="0" applyBorder="0" applyAlignment="0" applyProtection="0"/>
    <xf numFmtId="175" fontId="29" fillId="0" borderId="0" applyFill="0" applyBorder="0" applyAlignment="0" applyProtection="0"/>
    <xf numFmtId="175" fontId="29" fillId="0" borderId="0" applyFill="0" applyBorder="0" applyAlignment="0" applyProtection="0"/>
    <xf numFmtId="175" fontId="29" fillId="0" borderId="0" applyFill="0" applyBorder="0" applyAlignment="0" applyProtection="0"/>
    <xf numFmtId="175" fontId="29" fillId="0" borderId="0" applyFill="0" applyBorder="0" applyAlignment="0" applyProtection="0"/>
    <xf numFmtId="175" fontId="29" fillId="0" borderId="0" applyFill="0" applyBorder="0" applyAlignment="0" applyProtection="0"/>
    <xf numFmtId="175" fontId="29" fillId="0" borderId="0" applyFill="0" applyBorder="0" applyAlignment="0" applyProtection="0"/>
    <xf numFmtId="17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75" fontId="29" fillId="0" borderId="0" applyFill="0" applyBorder="0" applyAlignment="0" applyProtection="0"/>
    <xf numFmtId="175" fontId="29" fillId="0" borderId="0" applyFill="0" applyBorder="0" applyAlignment="0" applyProtection="0"/>
    <xf numFmtId="175" fontId="29" fillId="0" borderId="0" applyFill="0" applyBorder="0" applyAlignment="0" applyProtection="0"/>
    <xf numFmtId="175" fontId="29" fillId="0" borderId="0" applyFill="0" applyBorder="0" applyAlignment="0" applyProtection="0"/>
    <xf numFmtId="175" fontId="29" fillId="0" borderId="0" applyFill="0" applyBorder="0" applyAlignment="0" applyProtection="0"/>
    <xf numFmtId="175" fontId="29" fillId="0" borderId="0" applyFill="0" applyBorder="0" applyAlignment="0" applyProtection="0"/>
    <xf numFmtId="175" fontId="29" fillId="0" borderId="0" applyFill="0" applyBorder="0" applyAlignment="0" applyProtection="0"/>
    <xf numFmtId="175" fontId="29" fillId="0" borderId="0" applyFill="0" applyBorder="0" applyAlignment="0" applyProtection="0"/>
    <xf numFmtId="175" fontId="29" fillId="0" borderId="0" applyFill="0" applyBorder="0" applyAlignment="0" applyProtection="0"/>
    <xf numFmtId="175" fontId="29" fillId="0" borderId="0" applyFill="0" applyBorder="0" applyAlignment="0" applyProtection="0"/>
    <xf numFmtId="175" fontId="29" fillId="0" borderId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75" fontId="29" fillId="0" borderId="0" applyFill="0" applyBorder="0" applyAlignment="0" applyProtection="0"/>
    <xf numFmtId="175" fontId="29" fillId="0" borderId="0" applyFill="0" applyBorder="0" applyAlignment="0" applyProtection="0"/>
    <xf numFmtId="175" fontId="29" fillId="0" borderId="0" applyFill="0" applyBorder="0" applyAlignment="0" applyProtection="0"/>
    <xf numFmtId="175" fontId="29" fillId="0" borderId="0" applyFill="0" applyBorder="0" applyAlignment="0" applyProtection="0"/>
    <xf numFmtId="175" fontId="29" fillId="0" borderId="0" applyFill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0" borderId="0"/>
    <xf numFmtId="175" fontId="29" fillId="0" borderId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166" fontId="29" fillId="0" borderId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75" fontId="29" fillId="0" borderId="0" applyFill="0" applyBorder="0" applyAlignment="0" applyProtection="0"/>
    <xf numFmtId="166" fontId="6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75" fontId="29" fillId="0" borderId="0" applyFill="0" applyBorder="0" applyAlignment="0" applyProtection="0"/>
    <xf numFmtId="166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75" fontId="29" fillId="0" borderId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175" fontId="29" fillId="0" borderId="0" applyFill="0" applyBorder="0" applyAlignment="0" applyProtection="0"/>
    <xf numFmtId="175" fontId="29" fillId="0" borderId="0" applyFill="0" applyBorder="0" applyAlignment="0" applyProtection="0"/>
    <xf numFmtId="44" fontId="6" fillId="0" borderId="0" applyFont="0" applyFill="0" applyBorder="0" applyAlignment="0" applyProtection="0"/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11" fillId="16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54" fillId="70" borderId="0" applyNumberFormat="0" applyBorder="0" applyAlignment="0" applyProtection="0"/>
    <xf numFmtId="166" fontId="29" fillId="0" borderId="0"/>
    <xf numFmtId="166" fontId="29" fillId="0" borderId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166" fontId="54" fillId="70" borderId="0" applyNumberFormat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6" fillId="0" borderId="0" applyFont="0" applyFill="0" applyBorder="0" applyAlignment="0" applyProtection="0"/>
    <xf numFmtId="165" fontId="29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29" fillId="0" borderId="0" applyFont="0" applyFill="0" applyBorder="0" applyAlignment="0" applyProtection="0"/>
    <xf numFmtId="44" fontId="29" fillId="0" borderId="0" applyFont="0" applyFill="0" applyBorder="0" applyAlignment="0" applyProtection="0"/>
    <xf numFmtId="44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3" borderId="0" applyNumberFormat="0" applyBorder="0" applyAlignment="0" applyProtection="0"/>
    <xf numFmtId="166" fontId="23" fillId="41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55" fillId="92" borderId="0" applyNumberFormat="0" applyBorder="0" applyAlignment="0" applyProtection="0"/>
    <xf numFmtId="166" fontId="29" fillId="0" borderId="0"/>
    <xf numFmtId="166" fontId="29" fillId="0" borderId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66" fontId="55" fillId="92" borderId="0" applyNumberFormat="0" applyBorder="0" applyAlignment="0" applyProtection="0"/>
    <xf numFmtId="176" fontId="56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6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6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6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6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6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6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6" fillId="0" borderId="0"/>
    <xf numFmtId="166" fontId="6" fillId="0" borderId="0"/>
    <xf numFmtId="166" fontId="6" fillId="0" borderId="0"/>
    <xf numFmtId="166" fontId="6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6" fillId="0" borderId="0"/>
    <xf numFmtId="166" fontId="57" fillId="0" borderId="0"/>
    <xf numFmtId="166" fontId="6" fillId="0" borderId="0"/>
    <xf numFmtId="166" fontId="6" fillId="0" borderId="0"/>
    <xf numFmtId="166" fontId="57" fillId="0" borderId="0"/>
    <xf numFmtId="166" fontId="6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57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6" fillId="0" borderId="0"/>
    <xf numFmtId="166" fontId="57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6" fillId="0" borderId="0"/>
    <xf numFmtId="166" fontId="57" fillId="0" borderId="0"/>
    <xf numFmtId="166" fontId="6" fillId="0" borderId="0"/>
    <xf numFmtId="166" fontId="6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6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6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6" fillId="0" borderId="0"/>
    <xf numFmtId="166" fontId="6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6" fillId="0" borderId="0"/>
    <xf numFmtId="166" fontId="6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29" fillId="0" borderId="0"/>
    <xf numFmtId="166" fontId="29" fillId="0" borderId="0"/>
    <xf numFmtId="166" fontId="1" fillId="0" borderId="0"/>
    <xf numFmtId="166" fontId="1" fillId="0" borderId="0"/>
    <xf numFmtId="166" fontId="6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6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6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6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1" fillId="44" borderId="20" applyNumberFormat="0" applyFont="0" applyAlignment="0" applyProtection="0"/>
    <xf numFmtId="166" fontId="1" fillId="44" borderId="20" applyNumberFormat="0" applyFont="0" applyAlignment="0" applyProtection="0"/>
    <xf numFmtId="166" fontId="29" fillId="44" borderId="20" applyNumberFormat="0" applyFont="0" applyAlignment="0" applyProtection="0"/>
    <xf numFmtId="166" fontId="29" fillId="44" borderId="20" applyNumberFormat="0" applyFont="0" applyAlignment="0" applyProtection="0"/>
    <xf numFmtId="166" fontId="29" fillId="44" borderId="20" applyNumberFormat="0" applyFont="0" applyAlignment="0" applyProtection="0"/>
    <xf numFmtId="166" fontId="29" fillId="44" borderId="20" applyNumberFormat="0" applyFon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44" borderId="20" applyNumberFormat="0" applyFon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94" borderId="27" applyNumberFormat="0" applyAlignment="0" applyProtection="0"/>
    <xf numFmtId="166" fontId="29" fillId="0" borderId="0"/>
    <xf numFmtId="166" fontId="29" fillId="0" borderId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29" fillId="94" borderId="27" applyNumberFormat="0" applyAlignment="0" applyProtection="0"/>
    <xf numFmtId="166" fontId="6" fillId="95" borderId="27" applyNumberFormat="0" applyFont="0" applyAlignment="0" applyProtection="0"/>
    <xf numFmtId="166" fontId="6" fillId="95" borderId="27" applyNumberFormat="0" applyFont="0" applyAlignment="0" applyProtection="0"/>
    <xf numFmtId="166" fontId="6" fillId="95" borderId="27" applyNumberFormat="0" applyFont="0" applyAlignment="0" applyProtection="0"/>
    <xf numFmtId="166" fontId="6" fillId="95" borderId="27" applyNumberFormat="0" applyFont="0" applyAlignment="0" applyProtection="0"/>
    <xf numFmtId="166" fontId="6" fillId="95" borderId="27" applyNumberFormat="0" applyFont="0" applyAlignment="0" applyProtection="0"/>
    <xf numFmtId="166" fontId="6" fillId="95" borderId="27" applyNumberFormat="0" applyFont="0" applyAlignment="0" applyProtection="0"/>
    <xf numFmtId="166" fontId="6" fillId="95" borderId="27" applyNumberFormat="0" applyFont="0" applyAlignment="0" applyProtection="0"/>
    <xf numFmtId="166" fontId="6" fillId="95" borderId="27" applyNumberFormat="0" applyFont="0" applyAlignment="0" applyProtection="0"/>
    <xf numFmtId="166" fontId="6" fillId="95" borderId="27" applyNumberFormat="0" applyFont="0" applyAlignment="0" applyProtection="0"/>
    <xf numFmtId="166" fontId="6" fillId="95" borderId="27" applyNumberFormat="0" applyFont="0" applyAlignment="0" applyProtection="0"/>
    <xf numFmtId="9" fontId="29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29" fillId="0" borderId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29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24" fillId="42" borderId="17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58" fillId="87" borderId="28" applyNumberFormat="0" applyAlignment="0" applyProtection="0"/>
    <xf numFmtId="166" fontId="29" fillId="0" borderId="0"/>
    <xf numFmtId="166" fontId="29" fillId="0" borderId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7" borderId="28" applyNumberFormat="0" applyAlignment="0" applyProtection="0"/>
    <xf numFmtId="166" fontId="58" fillId="88" borderId="28" applyNumberFormat="0" applyAlignment="0" applyProtection="0"/>
    <xf numFmtId="166" fontId="58" fillId="88" borderId="28" applyNumberFormat="0" applyAlignment="0" applyProtection="0"/>
    <xf numFmtId="166" fontId="58" fillId="88" borderId="28" applyNumberFormat="0" applyAlignment="0" applyProtection="0"/>
    <xf numFmtId="166" fontId="58" fillId="88" borderId="28" applyNumberFormat="0" applyAlignment="0" applyProtection="0"/>
    <xf numFmtId="166" fontId="58" fillId="88" borderId="28" applyNumberFormat="0" applyAlignment="0" applyProtection="0"/>
    <xf numFmtId="166" fontId="58" fillId="88" borderId="28" applyNumberFormat="0" applyAlignment="0" applyProtection="0"/>
    <xf numFmtId="166" fontId="58" fillId="88" borderId="28" applyNumberFormat="0" applyAlignment="0" applyProtection="0"/>
    <xf numFmtId="166" fontId="58" fillId="88" borderId="28" applyNumberFormat="0" applyAlignment="0" applyProtection="0"/>
    <xf numFmtId="166" fontId="58" fillId="88" borderId="28" applyNumberFormat="0" applyAlignment="0" applyProtection="0"/>
    <xf numFmtId="166" fontId="58" fillId="88" borderId="28" applyNumberFormat="0" applyAlignment="0" applyProtection="0"/>
    <xf numFmtId="166" fontId="58" fillId="88" borderId="28" applyNumberFormat="0" applyAlignment="0" applyProtection="0"/>
    <xf numFmtId="166" fontId="58" fillId="88" borderId="28" applyNumberFormat="0" applyAlignment="0" applyProtection="0"/>
    <xf numFmtId="166" fontId="58" fillId="88" borderId="28" applyNumberFormat="0" applyAlignment="0" applyProtection="0"/>
    <xf numFmtId="166" fontId="58" fillId="88" borderId="28" applyNumberFormat="0" applyAlignment="0" applyProtection="0"/>
    <xf numFmtId="166" fontId="58" fillId="88" borderId="28" applyNumberFormat="0" applyAlignment="0" applyProtection="0"/>
    <xf numFmtId="166" fontId="58" fillId="88" borderId="28" applyNumberFormat="0" applyAlignment="0" applyProtection="0"/>
    <xf numFmtId="166" fontId="58" fillId="88" borderId="28" applyNumberFormat="0" applyAlignment="0" applyProtection="0"/>
    <xf numFmtId="166" fontId="58" fillId="88" borderId="28" applyNumberFormat="0" applyAlignment="0" applyProtection="0"/>
    <xf numFmtId="166" fontId="58" fillId="88" borderId="28" applyNumberFormat="0" applyAlignment="0" applyProtection="0"/>
    <xf numFmtId="166" fontId="58" fillId="88" borderId="28" applyNumberFormat="0" applyAlignment="0" applyProtection="0"/>
    <xf numFmtId="166" fontId="58" fillId="88" borderId="28" applyNumberFormat="0" applyAlignment="0" applyProtection="0"/>
    <xf numFmtId="166" fontId="58" fillId="88" borderId="28" applyNumberFormat="0" applyAlignment="0" applyProtection="0"/>
    <xf numFmtId="166" fontId="58" fillId="88" borderId="28" applyNumberFormat="0" applyAlignment="0" applyProtection="0"/>
    <xf numFmtId="166" fontId="58" fillId="88" borderId="28" applyNumberFormat="0" applyAlignment="0" applyProtection="0"/>
    <xf numFmtId="166" fontId="58" fillId="88" borderId="28" applyNumberFormat="0" applyAlignment="0" applyProtection="0"/>
    <xf numFmtId="4" fontId="12" fillId="88" borderId="21" applyNumberFormat="0" applyProtection="0">
      <alignment horizontal="left" vertical="center" indent="1"/>
    </xf>
    <xf numFmtId="166" fontId="6" fillId="93" borderId="22" applyNumberFormat="0" applyProtection="0">
      <alignment horizontal="left" vertical="center" indent="1"/>
    </xf>
    <xf numFmtId="166" fontId="6" fillId="90" borderId="22" applyNumberFormat="0" applyProtection="0">
      <alignment horizontal="left" vertical="center" indent="1"/>
    </xf>
    <xf numFmtId="4" fontId="57" fillId="96" borderId="12" applyNumberFormat="0" applyProtection="0">
      <alignment horizontal="right" vertical="center"/>
    </xf>
    <xf numFmtId="4" fontId="57" fillId="96" borderId="12" applyNumberFormat="0" applyProtection="0">
      <alignment horizontal="left" vertical="center" indent="1"/>
    </xf>
    <xf numFmtId="166" fontId="49" fillId="0" borderId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27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59" fillId="0" borderId="0" applyNumberFormat="0" applyFill="0" applyBorder="0" applyAlignment="0" applyProtection="0"/>
    <xf numFmtId="166" fontId="29" fillId="0" borderId="0"/>
    <xf numFmtId="166" fontId="29" fillId="0" borderId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59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28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60" fillId="0" borderId="0" applyNumberFormat="0" applyFill="0" applyBorder="0" applyAlignment="0" applyProtection="0"/>
    <xf numFmtId="166" fontId="29" fillId="0" borderId="0"/>
    <xf numFmtId="166" fontId="29" fillId="0" borderId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0" fillId="0" borderId="0" applyNumberFormat="0" applyFill="0" applyBorder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19" fillId="0" borderId="13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61" fillId="0" borderId="29" applyNumberFormat="0" applyFill="0" applyAlignment="0" applyProtection="0"/>
    <xf numFmtId="166" fontId="29" fillId="0" borderId="0"/>
    <xf numFmtId="166" fontId="29" fillId="0" borderId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1" fillId="0" borderId="29" applyNumberFormat="0" applyFill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20" fillId="0" borderId="14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63" fillId="0" borderId="30" applyNumberFormat="0" applyFill="0" applyAlignment="0" applyProtection="0"/>
    <xf numFmtId="166" fontId="29" fillId="0" borderId="0"/>
    <xf numFmtId="166" fontId="29" fillId="0" borderId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3" fillId="0" borderId="30" applyNumberFormat="0" applyFill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21" fillId="0" borderId="15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64" fillId="0" borderId="31" applyNumberFormat="0" applyFill="0" applyAlignment="0" applyProtection="0"/>
    <xf numFmtId="166" fontId="29" fillId="0" borderId="0"/>
    <xf numFmtId="166" fontId="29" fillId="0" borderId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4" fillId="0" borderId="31" applyNumberFormat="0" applyFill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29" fillId="0" borderId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64" fillId="0" borderId="0" applyNumberFormat="0" applyFill="0" applyBorder="0" applyAlignment="0" applyProtection="0"/>
    <xf numFmtId="166" fontId="29" fillId="0" borderId="0"/>
    <xf numFmtId="166" fontId="29" fillId="0" borderId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64" fillId="0" borderId="0" applyNumberFormat="0" applyFill="0" applyBorder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2" fillId="0" borderId="0" applyNumberFormat="0" applyFill="0" applyBorder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29" fillId="0" borderId="0"/>
    <xf numFmtId="166" fontId="65" fillId="0" borderId="32" applyNumberFormat="0" applyFill="0" applyAlignment="0" applyProtection="0"/>
    <xf numFmtId="166" fontId="29" fillId="0" borderId="0"/>
    <xf numFmtId="166" fontId="29" fillId="0" borderId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5" fillId="0" borderId="32" applyNumberFormat="0" applyFill="0" applyAlignment="0" applyProtection="0"/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4" fontId="6" fillId="91" borderId="0"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3" fontId="6" fillId="91" borderId="0">
      <protection locked="0"/>
    </xf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7" fontId="6" fillId="0" borderId="0"/>
    <xf numFmtId="173" fontId="42" fillId="0" borderId="0" applyBorder="0" applyProtection="0"/>
    <xf numFmtId="173" fontId="42" fillId="0" borderId="0" applyBorder="0"/>
    <xf numFmtId="0" fontId="45" fillId="88" borderId="24" applyNumberFormat="0" applyAlignment="0" applyProtection="0"/>
    <xf numFmtId="0" fontId="45" fillId="88" borderId="24" applyNumberFormat="0" applyAlignment="0" applyProtection="0"/>
    <xf numFmtId="0" fontId="45" fillId="88" borderId="24" applyNumberFormat="0" applyAlignment="0" applyProtection="0"/>
    <xf numFmtId="0" fontId="45" fillId="88" borderId="24" applyNumberFormat="0" applyAlignment="0" applyProtection="0"/>
    <xf numFmtId="0" fontId="45" fillId="88" borderId="24" applyNumberFormat="0" applyAlignment="0" applyProtection="0"/>
    <xf numFmtId="0" fontId="45" fillId="88" borderId="24" applyNumberFormat="0" applyAlignment="0" applyProtection="0"/>
    <xf numFmtId="0" fontId="45" fillId="88" borderId="24" applyNumberFormat="0" applyAlignment="0" applyProtection="0"/>
    <xf numFmtId="0" fontId="45" fillId="88" borderId="24" applyNumberFormat="0" applyAlignment="0" applyProtection="0"/>
    <xf numFmtId="0" fontId="45" fillId="88" borderId="24" applyNumberFormat="0" applyAlignment="0" applyProtection="0"/>
    <xf numFmtId="0" fontId="45" fillId="88" borderId="24" applyNumberFormat="0" applyAlignment="0" applyProtection="0"/>
    <xf numFmtId="0" fontId="45" fillId="88" borderId="24" applyNumberFormat="0" applyAlignment="0" applyProtection="0"/>
    <xf numFmtId="0" fontId="45" fillId="88" borderId="24" applyNumberFormat="0" applyAlignment="0" applyProtection="0"/>
    <xf numFmtId="0" fontId="45" fillId="88" borderId="24" applyNumberFormat="0" applyAlignment="0" applyProtection="0"/>
    <xf numFmtId="0" fontId="45" fillId="88" borderId="24" applyNumberFormat="0" applyAlignment="0" applyProtection="0"/>
    <xf numFmtId="0" fontId="45" fillId="88" borderId="24" applyNumberFormat="0" applyAlignment="0" applyProtection="0"/>
    <xf numFmtId="0" fontId="45" fillId="88" borderId="24" applyNumberFormat="0" applyAlignment="0" applyProtection="0"/>
    <xf numFmtId="0" fontId="45" fillId="88" borderId="24" applyNumberFormat="0" applyAlignment="0" applyProtection="0"/>
    <xf numFmtId="0" fontId="45" fillId="88" borderId="24" applyNumberFormat="0" applyAlignment="0" applyProtection="0"/>
    <xf numFmtId="0" fontId="45" fillId="88" borderId="24" applyNumberFormat="0" applyAlignment="0" applyProtection="0"/>
    <xf numFmtId="0" fontId="45" fillId="88" borderId="24" applyNumberFormat="0" applyAlignment="0" applyProtection="0"/>
    <xf numFmtId="0" fontId="45" fillId="88" borderId="24" applyNumberFormat="0" applyAlignment="0" applyProtection="0"/>
    <xf numFmtId="0" fontId="45" fillId="88" borderId="24" applyNumberFormat="0" applyAlignment="0" applyProtection="0"/>
    <xf numFmtId="0" fontId="45" fillId="88" borderId="24" applyNumberFormat="0" applyAlignment="0" applyProtection="0"/>
    <xf numFmtId="0" fontId="45" fillId="88" borderId="24" applyNumberFormat="0" applyAlignment="0" applyProtection="0"/>
    <xf numFmtId="0" fontId="45" fillId="88" borderId="24" applyNumberFormat="0" applyAlignment="0" applyProtection="0"/>
    <xf numFmtId="0" fontId="45" fillId="88" borderId="24" applyNumberFormat="0" applyAlignment="0" applyProtection="0"/>
    <xf numFmtId="0" fontId="45" fillId="88" borderId="24" applyNumberFormat="0" applyAlignment="0" applyProtection="0"/>
    <xf numFmtId="0" fontId="66" fillId="0" borderId="0" applyNumberFormat="0" applyFill="0" applyBorder="0" applyAlignment="0" applyProtection="0">
      <alignment vertical="top"/>
      <protection locked="0"/>
    </xf>
    <xf numFmtId="0" fontId="51" fillId="0" borderId="0" applyNumberFormat="0" applyFill="0" applyBorder="0" applyAlignment="0" applyProtection="0">
      <alignment vertical="top"/>
      <protection locked="0"/>
    </xf>
    <xf numFmtId="0" fontId="52" fillId="90" borderId="24" applyNumberFormat="0" applyAlignment="0" applyProtection="0"/>
    <xf numFmtId="0" fontId="52" fillId="90" borderId="24" applyNumberFormat="0" applyAlignment="0" applyProtection="0"/>
    <xf numFmtId="0" fontId="52" fillId="90" borderId="24" applyNumberFormat="0" applyAlignment="0" applyProtection="0"/>
    <xf numFmtId="0" fontId="52" fillId="90" borderId="24" applyNumberFormat="0" applyAlignment="0" applyProtection="0"/>
    <xf numFmtId="0" fontId="52" fillId="90" borderId="24" applyNumberFormat="0" applyAlignment="0" applyProtection="0"/>
    <xf numFmtId="0" fontId="52" fillId="90" borderId="24" applyNumberFormat="0" applyAlignment="0" applyProtection="0"/>
    <xf numFmtId="0" fontId="52" fillId="90" borderId="24" applyNumberFormat="0" applyAlignment="0" applyProtection="0"/>
    <xf numFmtId="0" fontId="52" fillId="90" borderId="24" applyNumberFormat="0" applyAlignment="0" applyProtection="0"/>
    <xf numFmtId="0" fontId="52" fillId="90" borderId="24" applyNumberFormat="0" applyAlignment="0" applyProtection="0"/>
    <xf numFmtId="0" fontId="52" fillId="90" borderId="24" applyNumberFormat="0" applyAlignment="0" applyProtection="0"/>
    <xf numFmtId="0" fontId="52" fillId="90" borderId="24" applyNumberFormat="0" applyAlignment="0" applyProtection="0"/>
    <xf numFmtId="0" fontId="52" fillId="90" borderId="24" applyNumberFormat="0" applyAlignment="0" applyProtection="0"/>
    <xf numFmtId="0" fontId="52" fillId="90" borderId="24" applyNumberFormat="0" applyAlignment="0" applyProtection="0"/>
    <xf numFmtId="0" fontId="52" fillId="90" borderId="24" applyNumberFormat="0" applyAlignment="0" applyProtection="0"/>
    <xf numFmtId="0" fontId="52" fillId="90" borderId="24" applyNumberFormat="0" applyAlignment="0" applyProtection="0"/>
    <xf numFmtId="0" fontId="52" fillId="90" borderId="24" applyNumberFormat="0" applyAlignment="0" applyProtection="0"/>
    <xf numFmtId="0" fontId="52" fillId="90" borderId="24" applyNumberFormat="0" applyAlignment="0" applyProtection="0"/>
    <xf numFmtId="0" fontId="52" fillId="90" borderId="24" applyNumberFormat="0" applyAlignment="0" applyProtection="0"/>
    <xf numFmtId="0" fontId="52" fillId="90" borderId="24" applyNumberFormat="0" applyAlignment="0" applyProtection="0"/>
    <xf numFmtId="0" fontId="52" fillId="90" borderId="24" applyNumberFormat="0" applyAlignment="0" applyProtection="0"/>
    <xf numFmtId="0" fontId="52" fillId="90" borderId="24" applyNumberFormat="0" applyAlignment="0" applyProtection="0"/>
    <xf numFmtId="0" fontId="52" fillId="90" borderId="24" applyNumberFormat="0" applyAlignment="0" applyProtection="0"/>
    <xf numFmtId="0" fontId="52" fillId="90" borderId="24" applyNumberFormat="0" applyAlignment="0" applyProtection="0"/>
    <xf numFmtId="0" fontId="52" fillId="90" borderId="24" applyNumberFormat="0" applyAlignment="0" applyProtection="0"/>
    <xf numFmtId="0" fontId="52" fillId="90" borderId="24" applyNumberFormat="0" applyAlignment="0" applyProtection="0"/>
    <xf numFmtId="0" fontId="52" fillId="90" borderId="24" applyNumberFormat="0" applyAlignment="0" applyProtection="0"/>
    <xf numFmtId="0" fontId="52" fillId="90" borderId="24" applyNumberFormat="0" applyAlignment="0" applyProtection="0"/>
    <xf numFmtId="0" fontId="52" fillId="90" borderId="24" applyNumberFormat="0" applyAlignment="0" applyProtection="0"/>
    <xf numFmtId="0" fontId="55" fillId="93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6" fillId="95" borderId="27" applyNumberFormat="0" applyFont="0" applyAlignment="0" applyProtection="0"/>
    <xf numFmtId="0" fontId="6" fillId="95" borderId="27" applyNumberFormat="0" applyFont="0" applyAlignment="0" applyProtection="0"/>
    <xf numFmtId="0" fontId="6" fillId="95" borderId="27" applyNumberFormat="0" applyFont="0" applyAlignment="0" applyProtection="0"/>
    <xf numFmtId="0" fontId="6" fillId="95" borderId="27" applyNumberFormat="0" applyFont="0" applyAlignment="0" applyProtection="0"/>
    <xf numFmtId="0" fontId="6" fillId="95" borderId="27" applyNumberFormat="0" applyFont="0" applyAlignment="0" applyProtection="0"/>
    <xf numFmtId="0" fontId="6" fillId="95" borderId="27" applyNumberFormat="0" applyFont="0" applyAlignment="0" applyProtection="0"/>
    <xf numFmtId="0" fontId="6" fillId="95" borderId="27" applyNumberFormat="0" applyFont="0" applyAlignment="0" applyProtection="0"/>
    <xf numFmtId="0" fontId="6" fillId="95" borderId="27" applyNumberFormat="0" applyFont="0" applyAlignment="0" applyProtection="0"/>
    <xf numFmtId="0" fontId="6" fillId="95" borderId="27" applyNumberFormat="0" applyFont="0" applyAlignment="0" applyProtection="0"/>
    <xf numFmtId="0" fontId="6" fillId="95" borderId="27" applyNumberFormat="0" applyFont="0" applyAlignment="0" applyProtection="0"/>
    <xf numFmtId="0" fontId="58" fillId="88" borderId="28" applyNumberFormat="0" applyAlignment="0" applyProtection="0"/>
    <xf numFmtId="0" fontId="58" fillId="88" borderId="28" applyNumberFormat="0" applyAlignment="0" applyProtection="0"/>
    <xf numFmtId="0" fontId="58" fillId="88" borderId="28" applyNumberFormat="0" applyAlignment="0" applyProtection="0"/>
    <xf numFmtId="0" fontId="58" fillId="88" borderId="28" applyNumberFormat="0" applyAlignment="0" applyProtection="0"/>
    <xf numFmtId="0" fontId="58" fillId="88" borderId="28" applyNumberFormat="0" applyAlignment="0" applyProtection="0"/>
    <xf numFmtId="0" fontId="58" fillId="88" borderId="28" applyNumberFormat="0" applyAlignment="0" applyProtection="0"/>
    <xf numFmtId="0" fontId="58" fillId="88" borderId="28" applyNumberFormat="0" applyAlignment="0" applyProtection="0"/>
    <xf numFmtId="0" fontId="58" fillId="88" borderId="28" applyNumberFormat="0" applyAlignment="0" applyProtection="0"/>
    <xf numFmtId="0" fontId="58" fillId="88" borderId="28" applyNumberFormat="0" applyAlignment="0" applyProtection="0"/>
    <xf numFmtId="0" fontId="58" fillId="88" borderId="28" applyNumberFormat="0" applyAlignment="0" applyProtection="0"/>
    <xf numFmtId="0" fontId="58" fillId="88" borderId="28" applyNumberFormat="0" applyAlignment="0" applyProtection="0"/>
    <xf numFmtId="0" fontId="58" fillId="88" borderId="28" applyNumberFormat="0" applyAlignment="0" applyProtection="0"/>
    <xf numFmtId="0" fontId="58" fillId="88" borderId="28" applyNumberFormat="0" applyAlignment="0" applyProtection="0"/>
    <xf numFmtId="0" fontId="58" fillId="88" borderId="28" applyNumberFormat="0" applyAlignment="0" applyProtection="0"/>
    <xf numFmtId="0" fontId="58" fillId="88" borderId="28" applyNumberFormat="0" applyAlignment="0" applyProtection="0"/>
    <xf numFmtId="0" fontId="58" fillId="88" borderId="28" applyNumberFormat="0" applyAlignment="0" applyProtection="0"/>
    <xf numFmtId="0" fontId="58" fillId="88" borderId="28" applyNumberFormat="0" applyAlignment="0" applyProtection="0"/>
    <xf numFmtId="0" fontId="58" fillId="88" borderId="28" applyNumberFormat="0" applyAlignment="0" applyProtection="0"/>
    <xf numFmtId="0" fontId="58" fillId="88" borderId="28" applyNumberFormat="0" applyAlignment="0" applyProtection="0"/>
    <xf numFmtId="0" fontId="58" fillId="88" borderId="28" applyNumberFormat="0" applyAlignment="0" applyProtection="0"/>
    <xf numFmtId="0" fontId="58" fillId="88" borderId="28" applyNumberFormat="0" applyAlignment="0" applyProtection="0"/>
    <xf numFmtId="0" fontId="58" fillId="88" borderId="28" applyNumberFormat="0" applyAlignment="0" applyProtection="0"/>
    <xf numFmtId="0" fontId="58" fillId="88" borderId="28" applyNumberFormat="0" applyAlignment="0" applyProtection="0"/>
    <xf numFmtId="0" fontId="58" fillId="88" borderId="28" applyNumberFormat="0" applyAlignment="0" applyProtection="0"/>
    <xf numFmtId="0" fontId="58" fillId="88" borderId="28" applyNumberFormat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0" fontId="65" fillId="0" borderId="32" applyNumberFormat="0" applyFill="0" applyAlignment="0" applyProtection="0"/>
    <xf numFmtId="43" fontId="29" fillId="0" borderId="0" applyFont="0" applyFill="0" applyBorder="0" applyAlignment="0" applyProtection="0"/>
    <xf numFmtId="44" fontId="29" fillId="0" borderId="0" applyFont="0" applyFill="0" applyBorder="0" applyAlignment="0" applyProtection="0"/>
    <xf numFmtId="0" fontId="5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1" fillId="0" borderId="0"/>
    <xf numFmtId="166" fontId="67" fillId="0" borderId="0"/>
    <xf numFmtId="166" fontId="67" fillId="0" borderId="0"/>
    <xf numFmtId="166" fontId="1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" fillId="0" borderId="0"/>
    <xf numFmtId="166" fontId="1" fillId="0" borderId="0"/>
    <xf numFmtId="166" fontId="1" fillId="0" borderId="0"/>
    <xf numFmtId="166" fontId="1" fillId="0" borderId="0"/>
    <xf numFmtId="166" fontId="30" fillId="0" borderId="0"/>
    <xf numFmtId="166" fontId="6" fillId="67" borderId="0"/>
    <xf numFmtId="166" fontId="6" fillId="67" borderId="0"/>
    <xf numFmtId="166" fontId="12" fillId="67" borderId="0"/>
    <xf numFmtId="166" fontId="31" fillId="67" borderId="0"/>
    <xf numFmtId="166" fontId="32" fillId="67" borderId="0"/>
    <xf numFmtId="166" fontId="33" fillId="67" borderId="0"/>
    <xf numFmtId="166" fontId="34" fillId="67" borderId="0"/>
    <xf numFmtId="166" fontId="35" fillId="67" borderId="0"/>
    <xf numFmtId="166" fontId="36" fillId="67" borderId="0"/>
    <xf numFmtId="166" fontId="37" fillId="67" borderId="0"/>
    <xf numFmtId="166" fontId="38" fillId="67" borderId="0"/>
    <xf numFmtId="166" fontId="39" fillId="67" borderId="0"/>
    <xf numFmtId="166" fontId="40" fillId="67" borderId="0"/>
    <xf numFmtId="166" fontId="41" fillId="67" borderId="0"/>
    <xf numFmtId="166" fontId="32" fillId="68" borderId="0"/>
    <xf numFmtId="166" fontId="33" fillId="68" borderId="0"/>
    <xf numFmtId="166" fontId="6" fillId="67" borderId="0"/>
    <xf numFmtId="166" fontId="6" fillId="67" borderId="0"/>
    <xf numFmtId="166" fontId="12" fillId="67" borderId="0"/>
    <xf numFmtId="166" fontId="31" fillId="67" borderId="0"/>
    <xf numFmtId="166" fontId="32" fillId="67" borderId="0"/>
    <xf numFmtId="166" fontId="33" fillId="67" borderId="0"/>
    <xf numFmtId="166" fontId="36" fillId="67" borderId="0"/>
    <xf numFmtId="166" fontId="37" fillId="67" borderId="0"/>
    <xf numFmtId="166" fontId="38" fillId="67" borderId="0"/>
    <xf numFmtId="166" fontId="39" fillId="67" borderId="0"/>
    <xf numFmtId="166" fontId="40" fillId="67" borderId="0"/>
    <xf numFmtId="166" fontId="41" fillId="67" borderId="0"/>
    <xf numFmtId="166" fontId="53" fillId="0" borderId="0"/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7" fillId="0" borderId="0"/>
    <xf numFmtId="166" fontId="67" fillId="0" borderId="0"/>
    <xf numFmtId="166" fontId="67" fillId="0" borderId="0"/>
    <xf numFmtId="166" fontId="67" fillId="0" borderId="0"/>
    <xf numFmtId="166" fontId="1" fillId="0" borderId="0"/>
    <xf numFmtId="166" fontId="67" fillId="0" borderId="0"/>
    <xf numFmtId="166" fontId="67" fillId="0" borderId="0"/>
    <xf numFmtId="166" fontId="1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7" fillId="0" borderId="0"/>
    <xf numFmtId="166" fontId="6" fillId="91" borderId="0">
      <protection locked="0"/>
    </xf>
    <xf numFmtId="166" fontId="6" fillId="91" borderId="0"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0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6" fillId="67" borderId="0"/>
    <xf numFmtId="166" fontId="1" fillId="0" borderId="0"/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1" fillId="0" borderId="0"/>
    <xf numFmtId="166" fontId="6" fillId="91" borderId="0">
      <protection locked="0"/>
    </xf>
    <xf numFmtId="166" fontId="6" fillId="91" borderId="0">
      <protection locked="0"/>
    </xf>
    <xf numFmtId="166" fontId="6" fillId="91" borderId="0"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6" fillId="91" borderId="0">
      <alignment horizontal="right"/>
      <protection locked="0"/>
    </xf>
    <xf numFmtId="166" fontId="1" fillId="0" borderId="0"/>
    <xf numFmtId="166" fontId="1" fillId="0" borderId="0"/>
    <xf numFmtId="166" fontId="1" fillId="0" borderId="0"/>
    <xf numFmtId="0" fontId="1" fillId="0" borderId="0"/>
    <xf numFmtId="0" fontId="6" fillId="0" borderId="0"/>
    <xf numFmtId="0" fontId="30" fillId="0" borderId="0"/>
    <xf numFmtId="0" fontId="6" fillId="67" borderId="0"/>
    <xf numFmtId="0" fontId="6" fillId="67" borderId="0"/>
    <xf numFmtId="0" fontId="6" fillId="67" borderId="0"/>
    <xf numFmtId="0" fontId="6" fillId="67" borderId="0"/>
    <xf numFmtId="0" fontId="12" fillId="67" borderId="0"/>
    <xf numFmtId="0" fontId="31" fillId="67" borderId="0"/>
    <xf numFmtId="0" fontId="32" fillId="67" borderId="0"/>
    <xf numFmtId="0" fontId="33" fillId="67" borderId="0"/>
    <xf numFmtId="0" fontId="34" fillId="67" borderId="0"/>
    <xf numFmtId="0" fontId="35" fillId="67" borderId="0"/>
    <xf numFmtId="0" fontId="36" fillId="67" borderId="0"/>
    <xf numFmtId="0" fontId="37" fillId="67" borderId="0"/>
    <xf numFmtId="0" fontId="38" fillId="67" borderId="0"/>
    <xf numFmtId="0" fontId="39" fillId="67" borderId="0"/>
    <xf numFmtId="0" fontId="40" fillId="67" borderId="0"/>
    <xf numFmtId="0" fontId="41" fillId="67" borderId="0"/>
    <xf numFmtId="0" fontId="32" fillId="68" borderId="0"/>
    <xf numFmtId="0" fontId="33" fillId="68" borderId="0"/>
    <xf numFmtId="0" fontId="6" fillId="67" borderId="0"/>
    <xf numFmtId="0" fontId="6" fillId="67" borderId="0"/>
    <xf numFmtId="0" fontId="6" fillId="67" borderId="0"/>
    <xf numFmtId="0" fontId="6" fillId="67" borderId="0"/>
    <xf numFmtId="0" fontId="12" fillId="67" borderId="0"/>
    <xf numFmtId="0" fontId="31" fillId="67" borderId="0"/>
    <xf numFmtId="0" fontId="32" fillId="67" borderId="0"/>
    <xf numFmtId="0" fontId="33" fillId="67" borderId="0"/>
    <xf numFmtId="0" fontId="6" fillId="67" borderId="0"/>
    <xf numFmtId="0" fontId="12" fillId="67" borderId="0"/>
    <xf numFmtId="0" fontId="36" fillId="67" borderId="0"/>
    <xf numFmtId="0" fontId="37" fillId="67" borderId="0"/>
    <xf numFmtId="0" fontId="38" fillId="67" borderId="0"/>
    <xf numFmtId="0" fontId="39" fillId="67" borderId="0"/>
    <xf numFmtId="0" fontId="40" fillId="67" borderId="0"/>
    <xf numFmtId="0" fontId="41" fillId="67" borderId="0"/>
    <xf numFmtId="0" fontId="53" fillId="0" borderId="0"/>
    <xf numFmtId="0" fontId="6" fillId="91" borderId="0">
      <protection locked="0"/>
    </xf>
    <xf numFmtId="0" fontId="6" fillId="91" borderId="0">
      <protection locked="0"/>
    </xf>
    <xf numFmtId="0" fontId="6" fillId="91" borderId="0">
      <protection locked="0"/>
    </xf>
    <xf numFmtId="0" fontId="6" fillId="91" borderId="0">
      <protection locked="0"/>
    </xf>
    <xf numFmtId="0" fontId="6" fillId="91" borderId="0">
      <protection locked="0"/>
    </xf>
    <xf numFmtId="0" fontId="6" fillId="91" borderId="0">
      <protection locked="0"/>
    </xf>
    <xf numFmtId="0" fontId="6" fillId="91" borderId="0">
      <protection locked="0"/>
    </xf>
    <xf numFmtId="0" fontId="6" fillId="91" borderId="0">
      <protection locked="0"/>
    </xf>
    <xf numFmtId="0" fontId="67" fillId="0" borderId="0"/>
    <xf numFmtId="0" fontId="67" fillId="0" borderId="0"/>
    <xf numFmtId="0" fontId="67" fillId="0" borderId="0"/>
    <xf numFmtId="0" fontId="67" fillId="0" borderId="0"/>
    <xf numFmtId="0" fontId="1" fillId="0" borderId="0"/>
    <xf numFmtId="0" fontId="67" fillId="0" borderId="0"/>
    <xf numFmtId="0" fontId="67" fillId="0" borderId="0"/>
    <xf numFmtId="0" fontId="1" fillId="0" borderId="0"/>
    <xf numFmtId="0" fontId="6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7" fillId="0" borderId="0"/>
    <xf numFmtId="0" fontId="6" fillId="0" borderId="0"/>
    <xf numFmtId="0" fontId="6" fillId="91" borderId="0">
      <protection locked="0"/>
    </xf>
    <xf numFmtId="0" fontId="6" fillId="91" borderId="0">
      <protection locked="0"/>
    </xf>
    <xf numFmtId="0" fontId="6" fillId="91" borderId="0">
      <protection locked="0"/>
    </xf>
    <xf numFmtId="0" fontId="6" fillId="91" borderId="0">
      <protection locked="0"/>
    </xf>
    <xf numFmtId="0" fontId="6" fillId="91" borderId="0">
      <alignment horizontal="right"/>
      <protection locked="0"/>
    </xf>
    <xf numFmtId="0" fontId="6" fillId="91" borderId="0">
      <alignment horizontal="right"/>
      <protection locked="0"/>
    </xf>
    <xf numFmtId="0" fontId="6" fillId="91" borderId="0">
      <alignment horizontal="right"/>
      <protection locked="0"/>
    </xf>
    <xf numFmtId="0" fontId="6" fillId="91" borderId="0">
      <alignment horizontal="right"/>
      <protection locked="0"/>
    </xf>
    <xf numFmtId="0" fontId="6" fillId="91" borderId="0">
      <alignment horizontal="right"/>
      <protection locked="0"/>
    </xf>
    <xf numFmtId="0" fontId="6" fillId="91" borderId="0">
      <alignment horizontal="right"/>
      <protection locked="0"/>
    </xf>
    <xf numFmtId="0" fontId="6" fillId="91" borderId="0">
      <alignment horizontal="right"/>
      <protection locked="0"/>
    </xf>
    <xf numFmtId="0" fontId="6" fillId="91" borderId="0">
      <alignment horizontal="right"/>
      <protection locked="0"/>
    </xf>
    <xf numFmtId="0" fontId="6" fillId="0" borderId="0"/>
    <xf numFmtId="0" fontId="6" fillId="0" borderId="0"/>
    <xf numFmtId="0" fontId="6" fillId="67" borderId="0"/>
    <xf numFmtId="0" fontId="6" fillId="67" borderId="0"/>
    <xf numFmtId="0" fontId="6" fillId="67" borderId="0"/>
    <xf numFmtId="0" fontId="6" fillId="67" borderId="0"/>
    <xf numFmtId="0" fontId="6" fillId="67" borderId="0"/>
    <xf numFmtId="0" fontId="6" fillId="67" borderId="0"/>
    <xf numFmtId="0" fontId="6" fillId="67" borderId="0"/>
    <xf numFmtId="0" fontId="6" fillId="91" borderId="0">
      <protection locked="0"/>
    </xf>
    <xf numFmtId="0" fontId="6" fillId="91" borderId="0">
      <protection locked="0"/>
    </xf>
    <xf numFmtId="0" fontId="6" fillId="91" borderId="0">
      <protection locked="0"/>
    </xf>
    <xf numFmtId="0" fontId="6" fillId="91" borderId="0">
      <protection locked="0"/>
    </xf>
    <xf numFmtId="0" fontId="6" fillId="91" borderId="0">
      <protection locked="0"/>
    </xf>
    <xf numFmtId="0" fontId="6" fillId="91" borderId="0">
      <protection locked="0"/>
    </xf>
    <xf numFmtId="0" fontId="1" fillId="0" borderId="0"/>
    <xf numFmtId="0" fontId="1" fillId="0" borderId="0"/>
    <xf numFmtId="0" fontId="6" fillId="91" borderId="0">
      <protection locked="0"/>
    </xf>
    <xf numFmtId="0" fontId="6" fillId="91" borderId="0">
      <protection locked="0"/>
    </xf>
    <xf numFmtId="0" fontId="6" fillId="91" borderId="0">
      <protection locked="0"/>
    </xf>
    <xf numFmtId="0" fontId="6" fillId="91" borderId="0">
      <alignment horizontal="right"/>
      <protection locked="0"/>
    </xf>
    <xf numFmtId="0" fontId="6" fillId="91" borderId="0">
      <alignment horizontal="right"/>
      <protection locked="0"/>
    </xf>
    <xf numFmtId="0" fontId="6" fillId="91" borderId="0">
      <alignment horizontal="right"/>
      <protection locked="0"/>
    </xf>
    <xf numFmtId="0" fontId="6" fillId="91" borderId="0">
      <alignment horizontal="right"/>
      <protection locked="0"/>
    </xf>
    <xf numFmtId="0" fontId="6" fillId="91" borderId="0">
      <alignment horizontal="right"/>
      <protection locked="0"/>
    </xf>
    <xf numFmtId="0" fontId="6" fillId="91" borderId="0">
      <alignment horizontal="right"/>
      <protection locked="0"/>
    </xf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166" fontId="1" fillId="0" borderId="0"/>
    <xf numFmtId="0" fontId="6" fillId="0" borderId="0"/>
    <xf numFmtId="0" fontId="68" fillId="0" borderId="0" applyNumberFormat="0" applyFill="0" applyBorder="0" applyAlignment="0" applyProtection="0"/>
    <xf numFmtId="0" fontId="68" fillId="0" borderId="0" applyNumberFormat="0" applyFill="0" applyBorder="0" applyAlignment="0" applyProtection="0"/>
    <xf numFmtId="0" fontId="68" fillId="0" borderId="0" applyNumberFormat="0" applyFill="0" applyBorder="0" applyProtection="0">
      <alignment horizontal="left"/>
    </xf>
    <xf numFmtId="0" fontId="43" fillId="97" borderId="0"/>
    <xf numFmtId="0" fontId="29" fillId="0" borderId="0"/>
    <xf numFmtId="178" fontId="29" fillId="0" borderId="0"/>
    <xf numFmtId="0" fontId="68" fillId="0" borderId="0" applyNumberFormat="0" applyFill="0" applyBorder="0" applyAlignment="0" applyProtection="0"/>
    <xf numFmtId="0" fontId="68" fillId="0" borderId="0" applyNumberFormat="0" applyFill="0" applyBorder="0" applyProtection="0">
      <alignment horizontal="left"/>
    </xf>
    <xf numFmtId="0" fontId="68" fillId="0" borderId="0" applyNumberFormat="0" applyFill="0" applyBorder="0" applyAlignment="0" applyProtection="0"/>
    <xf numFmtId="0" fontId="6" fillId="0" borderId="0"/>
  </cellStyleXfs>
  <cellXfs count="268">
    <xf numFmtId="0" fontId="0" fillId="0" borderId="0" xfId="0"/>
    <xf numFmtId="0" fontId="4" fillId="4" borderId="0" xfId="0" applyFont="1" applyFill="1"/>
    <xf numFmtId="0" fontId="6" fillId="6" borderId="0" xfId="0" applyFont="1" applyFill="1" applyBorder="1" applyAlignment="1">
      <alignment horizontal="center"/>
    </xf>
    <xf numFmtId="0" fontId="6" fillId="7" borderId="0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center"/>
    </xf>
    <xf numFmtId="0" fontId="0" fillId="6" borderId="0" xfId="0" applyFill="1" applyBorder="1"/>
    <xf numFmtId="0" fontId="4" fillId="9" borderId="0" xfId="0" applyFont="1" applyFill="1"/>
    <xf numFmtId="0" fontId="0" fillId="9" borderId="0" xfId="0" applyFill="1"/>
    <xf numFmtId="0" fontId="0" fillId="9" borderId="0" xfId="0" applyFill="1" applyBorder="1"/>
    <xf numFmtId="0" fontId="0" fillId="9" borderId="0" xfId="0" applyFill="1" applyBorder="1" applyAlignment="1">
      <alignment horizontal="left"/>
    </xf>
    <xf numFmtId="0" fontId="0" fillId="9" borderId="2" xfId="0" applyFill="1" applyBorder="1" applyAlignment="1">
      <alignment horizontal="left"/>
    </xf>
    <xf numFmtId="0" fontId="0" fillId="9" borderId="0" xfId="0" applyFill="1" applyBorder="1" applyAlignment="1"/>
    <xf numFmtId="0" fontId="0" fillId="9" borderId="5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9" borderId="0" xfId="0" applyFill="1" applyAlignment="1">
      <alignment horizontal="left"/>
    </xf>
    <xf numFmtId="44" fontId="0" fillId="6" borderId="1" xfId="2" applyFont="1" applyFill="1" applyBorder="1"/>
    <xf numFmtId="0" fontId="2" fillId="10" borderId="1" xfId="3" applyFont="1" applyFill="1" applyBorder="1"/>
    <xf numFmtId="0" fontId="0" fillId="6" borderId="1" xfId="0" applyFill="1" applyBorder="1"/>
    <xf numFmtId="0" fontId="0" fillId="9" borderId="0" xfId="0" applyFill="1" applyBorder="1" applyAlignment="1">
      <alignment horizontal="left"/>
    </xf>
    <xf numFmtId="0" fontId="0" fillId="9" borderId="0" xfId="0" applyFill="1" applyAlignment="1">
      <alignment vertical="center"/>
    </xf>
    <xf numFmtId="0" fontId="0" fillId="9" borderId="0" xfId="0" applyFill="1" applyAlignment="1">
      <alignment horizontal="left" vertical="center"/>
    </xf>
    <xf numFmtId="44" fontId="2" fillId="10" borderId="4" xfId="3" applyNumberFormat="1" applyFont="1" applyFill="1" applyBorder="1" applyAlignment="1"/>
    <xf numFmtId="0" fontId="4" fillId="4" borderId="0" xfId="0" applyFont="1" applyFill="1" applyAlignment="1">
      <alignment horizontal="left" vertical="center"/>
    </xf>
    <xf numFmtId="0" fontId="2" fillId="5" borderId="1" xfId="4" applyFont="1" applyFill="1" applyBorder="1" applyAlignment="1">
      <alignment wrapText="1"/>
    </xf>
    <xf numFmtId="0" fontId="7" fillId="9" borderId="0" xfId="0" applyFont="1" applyFill="1"/>
    <xf numFmtId="0" fontId="2" fillId="5" borderId="1" xfId="4" applyFont="1" applyFill="1" applyBorder="1" applyAlignment="1">
      <alignment horizontal="center" wrapText="1"/>
    </xf>
    <xf numFmtId="0" fontId="2" fillId="5" borderId="0" xfId="4" applyFont="1" applyFill="1" applyBorder="1" applyAlignment="1">
      <alignment wrapText="1"/>
    </xf>
    <xf numFmtId="0" fontId="2" fillId="5" borderId="0" xfId="4" applyFont="1" applyFill="1" applyBorder="1" applyAlignment="1">
      <alignment horizontal="left" wrapText="1"/>
    </xf>
    <xf numFmtId="0" fontId="2" fillId="5" borderId="0" xfId="4" applyFont="1" applyFill="1" applyBorder="1" applyAlignment="1">
      <alignment horizontal="left" vertical="center" wrapText="1"/>
    </xf>
    <xf numFmtId="0" fontId="2" fillId="5" borderId="0" xfId="4" applyFont="1" applyFill="1" applyBorder="1" applyAlignment="1">
      <alignment horizontal="left" vertical="center"/>
    </xf>
    <xf numFmtId="0" fontId="0" fillId="9" borderId="0" xfId="0" applyFill="1" applyBorder="1" applyAlignment="1">
      <alignment horizontal="left" vertical="center"/>
    </xf>
    <xf numFmtId="0" fontId="2" fillId="5" borderId="0" xfId="4" applyFont="1" applyFill="1" applyBorder="1" applyAlignment="1">
      <alignment vertical="center"/>
    </xf>
    <xf numFmtId="0" fontId="2" fillId="5" borderId="0" xfId="4" applyFont="1" applyFill="1" applyBorder="1" applyAlignment="1">
      <alignment vertical="center" wrapText="1"/>
    </xf>
    <xf numFmtId="0" fontId="0" fillId="6" borderId="6" xfId="0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2" fillId="5" borderId="0" xfId="4" applyFont="1" applyFill="1" applyBorder="1" applyAlignment="1">
      <alignment vertical="center" wrapText="1"/>
    </xf>
    <xf numFmtId="0" fontId="0" fillId="6" borderId="6" xfId="0" applyFill="1" applyBorder="1" applyAlignment="1">
      <alignment horizontal="center" vertical="center"/>
    </xf>
    <xf numFmtId="0" fontId="2" fillId="5" borderId="0" xfId="4" applyFont="1" applyFill="1" applyBorder="1" applyAlignment="1">
      <alignment horizontal="left" vertical="top"/>
    </xf>
    <xf numFmtId="0" fontId="0" fillId="6" borderId="6" xfId="0" applyFill="1" applyBorder="1" applyAlignment="1">
      <alignment horizontal="center" vertical="center" wrapText="1"/>
    </xf>
    <xf numFmtId="0" fontId="5" fillId="9" borderId="0" xfId="0" applyFont="1" applyFill="1" applyAlignment="1">
      <alignment vertical="center"/>
    </xf>
    <xf numFmtId="0" fontId="2" fillId="5" borderId="0" xfId="4" applyFont="1" applyFill="1" applyBorder="1" applyAlignment="1">
      <alignment vertical="top" wrapText="1"/>
    </xf>
    <xf numFmtId="164" fontId="0" fillId="6" borderId="6" xfId="1" applyNumberFormat="1" applyFont="1" applyFill="1" applyBorder="1" applyAlignment="1">
      <alignment horizontal="center" vertical="center"/>
    </xf>
    <xf numFmtId="164" fontId="0" fillId="6" borderId="1" xfId="1" applyNumberFormat="1" applyFont="1" applyFill="1" applyBorder="1" applyAlignment="1">
      <alignment horizontal="center" vertical="center"/>
    </xf>
    <xf numFmtId="0" fontId="9" fillId="0" borderId="0" xfId="0" applyFont="1"/>
    <xf numFmtId="0" fontId="2" fillId="5" borderId="0" xfId="4" applyFont="1" applyFill="1" applyBorder="1" applyAlignment="1">
      <alignment horizontal="left" vertical="center" wrapText="1"/>
    </xf>
    <xf numFmtId="0" fontId="0" fillId="14" borderId="1" xfId="0" applyFill="1" applyBorder="1"/>
    <xf numFmtId="44" fontId="0" fillId="14" borderId="1" xfId="2" applyFont="1" applyFill="1" applyBorder="1"/>
    <xf numFmtId="0" fontId="9" fillId="15" borderId="1" xfId="0" applyFont="1" applyFill="1" applyBorder="1"/>
    <xf numFmtId="0" fontId="9" fillId="15" borderId="1" xfId="0" applyFont="1" applyFill="1" applyBorder="1" applyAlignment="1">
      <alignment horizontal="left"/>
    </xf>
    <xf numFmtId="0" fontId="0" fillId="0" borderId="1" xfId="0" applyBorder="1"/>
    <xf numFmtId="44" fontId="0" fillId="0" borderId="1" xfId="2" applyFont="1" applyBorder="1"/>
    <xf numFmtId="0" fontId="9" fillId="0" borderId="1" xfId="0" applyFont="1" applyBorder="1"/>
    <xf numFmtId="0" fontId="9" fillId="12" borderId="1" xfId="0" applyFont="1" applyFill="1" applyBorder="1" applyAlignment="1">
      <alignment horizontal="left"/>
    </xf>
    <xf numFmtId="0" fontId="9" fillId="0" borderId="1" xfId="0" applyFont="1" applyBorder="1" applyAlignment="1">
      <alignment horizontal="left"/>
    </xf>
    <xf numFmtId="0" fontId="8" fillId="9" borderId="0" xfId="0" applyFont="1" applyFill="1" applyAlignment="1">
      <alignment vertical="center"/>
    </xf>
    <xf numFmtId="0" fontId="2" fillId="5" borderId="0" xfId="4" applyFont="1" applyFill="1" applyBorder="1" applyAlignment="1">
      <alignment horizontal="left" vertical="center"/>
    </xf>
    <xf numFmtId="0" fontId="0" fillId="0" borderId="0" xfId="0" quotePrefix="1"/>
    <xf numFmtId="0" fontId="2" fillId="5" borderId="0" xfId="4" applyFont="1" applyFill="1" applyBorder="1" applyAlignment="1">
      <alignment vertical="top"/>
    </xf>
    <xf numFmtId="0" fontId="10" fillId="4" borderId="0" xfId="0" applyFont="1" applyFill="1" applyAlignment="1">
      <alignment horizontal="left" vertical="center"/>
    </xf>
    <xf numFmtId="0" fontId="12" fillId="17" borderId="8" xfId="0" applyFont="1" applyFill="1" applyBorder="1" applyAlignment="1">
      <alignment horizontal="center" vertical="center" wrapText="1"/>
    </xf>
    <xf numFmtId="0" fontId="12" fillId="17" borderId="11" xfId="0" applyFont="1" applyFill="1" applyBorder="1" applyAlignment="1">
      <alignment horizontal="center" vertical="center" wrapText="1"/>
    </xf>
    <xf numFmtId="3" fontId="12" fillId="17" borderId="8" xfId="0" applyNumberFormat="1" applyFont="1" applyFill="1" applyBorder="1" applyAlignment="1">
      <alignment horizontal="center" vertical="center" wrapText="1"/>
    </xf>
    <xf numFmtId="0" fontId="13" fillId="18" borderId="11" xfId="0" applyFont="1" applyFill="1" applyBorder="1" applyAlignment="1">
      <alignment horizontal="center" vertical="center" wrapText="1"/>
    </xf>
    <xf numFmtId="0" fontId="12" fillId="19" borderId="11" xfId="0" applyFont="1" applyFill="1" applyBorder="1" applyAlignment="1">
      <alignment horizontal="center" vertical="center" wrapText="1"/>
    </xf>
    <xf numFmtId="0" fontId="11" fillId="16" borderId="0" xfId="5"/>
    <xf numFmtId="49" fontId="0" fillId="6" borderId="6" xfId="0" applyNumberFormat="1" applyFill="1" applyBorder="1" applyAlignment="1">
      <alignment horizontal="center" vertical="center"/>
    </xf>
    <xf numFmtId="3" fontId="0" fillId="0" borderId="0" xfId="0" applyNumberFormat="1"/>
    <xf numFmtId="0" fontId="13" fillId="20" borderId="11" xfId="0" applyFont="1" applyFill="1" applyBorder="1" applyAlignment="1">
      <alignment horizontal="center" vertical="center" wrapText="1"/>
    </xf>
    <xf numFmtId="3" fontId="12" fillId="21" borderId="11" xfId="0" applyNumberFormat="1" applyFont="1" applyFill="1" applyBorder="1" applyAlignment="1">
      <alignment horizontal="center" vertical="center" wrapText="1"/>
    </xf>
    <xf numFmtId="0" fontId="12" fillId="21" borderId="11" xfId="0" applyFont="1" applyFill="1" applyBorder="1" applyAlignment="1">
      <alignment horizontal="center" vertical="center" wrapText="1"/>
    </xf>
    <xf numFmtId="0" fontId="12" fillId="22" borderId="11" xfId="0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center" vertical="center" wrapText="1"/>
    </xf>
    <xf numFmtId="0" fontId="13" fillId="13" borderId="11" xfId="0" applyFont="1" applyFill="1" applyBorder="1" applyAlignment="1">
      <alignment horizontal="center" vertical="center" wrapText="1"/>
    </xf>
    <xf numFmtId="0" fontId="12" fillId="23" borderId="0" xfId="0" applyFont="1" applyFill="1" applyAlignment="1">
      <alignment horizontal="center" vertical="center" wrapText="1"/>
    </xf>
    <xf numFmtId="0" fontId="12" fillId="24" borderId="0" xfId="0" applyFont="1" applyFill="1" applyAlignment="1">
      <alignment horizontal="center" vertical="center" wrapText="1"/>
    </xf>
    <xf numFmtId="0" fontId="0" fillId="25" borderId="0" xfId="0" applyFill="1" applyAlignment="1">
      <alignment horizontal="center" vertical="center" wrapText="1"/>
    </xf>
    <xf numFmtId="0" fontId="0" fillId="26" borderId="0" xfId="0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12" fillId="14" borderId="0" xfId="0" applyFont="1" applyFill="1" applyAlignment="1">
      <alignment horizontal="center" vertical="center" wrapText="1"/>
    </xf>
    <xf numFmtId="0" fontId="12" fillId="27" borderId="0" xfId="0" applyFont="1" applyFill="1" applyAlignment="1">
      <alignment horizontal="center" vertical="center" wrapText="1"/>
    </xf>
    <xf numFmtId="0" fontId="12" fillId="28" borderId="1" xfId="0" applyFont="1" applyFill="1" applyBorder="1" applyAlignment="1">
      <alignment horizontal="center" vertical="center" wrapText="1"/>
    </xf>
    <xf numFmtId="0" fontId="12" fillId="28" borderId="12" xfId="0" applyFont="1" applyFill="1" applyBorder="1" applyAlignment="1">
      <alignment horizontal="center" vertical="center" wrapText="1"/>
    </xf>
    <xf numFmtId="0" fontId="12" fillId="23" borderId="12" xfId="0" applyFont="1" applyFill="1" applyBorder="1" applyAlignment="1">
      <alignment horizontal="center" vertical="center" wrapText="1"/>
    </xf>
    <xf numFmtId="0" fontId="12" fillId="29" borderId="0" xfId="0" applyFont="1" applyFill="1" applyAlignment="1">
      <alignment horizontal="center" vertical="center" wrapText="1"/>
    </xf>
    <xf numFmtId="0" fontId="12" fillId="19" borderId="0" xfId="0" applyFont="1" applyFill="1" applyAlignment="1">
      <alignment horizontal="center" vertical="center" wrapText="1"/>
    </xf>
    <xf numFmtId="0" fontId="12" fillId="11" borderId="0" xfId="0" applyFont="1" applyFill="1" applyAlignment="1">
      <alignment horizontal="center" vertical="center" wrapText="1"/>
    </xf>
    <xf numFmtId="0" fontId="12" fillId="22" borderId="0" xfId="0" applyFont="1" applyFill="1" applyBorder="1" applyAlignment="1">
      <alignment horizontal="center" vertical="center" wrapText="1"/>
    </xf>
    <xf numFmtId="0" fontId="0" fillId="30" borderId="6" xfId="0" applyFill="1" applyBorder="1" applyAlignment="1">
      <alignment horizontal="center" vertical="center"/>
    </xf>
    <xf numFmtId="0" fontId="2" fillId="5" borderId="0" xfId="4" applyFont="1" applyFill="1" applyBorder="1" applyAlignment="1">
      <alignment horizontal="left" vertical="center"/>
    </xf>
    <xf numFmtId="0" fontId="0" fillId="6" borderId="6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14" fontId="11" fillId="16" borderId="0" xfId="5" applyNumberFormat="1"/>
    <xf numFmtId="0" fontId="0" fillId="0" borderId="1" xfId="0" applyBorder="1" applyAlignment="1">
      <alignment horizontal="left" vertic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6" xfId="0" applyFill="1" applyBorder="1" applyAlignment="1">
      <alignment horizontal="center" vertical="center"/>
    </xf>
    <xf numFmtId="0" fontId="2" fillId="5" borderId="0" xfId="4" applyFont="1" applyFill="1" applyBorder="1" applyAlignment="1">
      <alignment horizontal="left" vertical="center"/>
    </xf>
    <xf numFmtId="0" fontId="2" fillId="5" borderId="0" xfId="4" applyFont="1" applyFill="1" applyBorder="1" applyAlignment="1">
      <alignment horizontal="left" vertical="center" wrapText="1"/>
    </xf>
    <xf numFmtId="0" fontId="2" fillId="5" borderId="0" xfId="4" applyFont="1" applyFill="1" applyBorder="1" applyAlignment="1">
      <alignment vertical="center" wrapText="1"/>
    </xf>
    <xf numFmtId="0" fontId="0" fillId="6" borderId="6" xfId="0" applyFill="1" applyBorder="1" applyAlignment="1">
      <alignment horizontal="center" vertical="center" wrapText="1"/>
    </xf>
    <xf numFmtId="0" fontId="0" fillId="6" borderId="6" xfId="0" applyFill="1" applyBorder="1" applyAlignment="1">
      <alignment vertical="center"/>
    </xf>
    <xf numFmtId="0" fontId="14" fillId="0" borderId="5" xfId="0" applyFont="1" applyBorder="1" applyAlignment="1">
      <alignment horizontal="center" vertical="center" wrapText="1"/>
    </xf>
    <xf numFmtId="0" fontId="14" fillId="31" borderId="5" xfId="0" applyFont="1" applyFill="1" applyBorder="1" applyAlignment="1">
      <alignment horizontal="center" vertical="center" wrapText="1"/>
    </xf>
    <xf numFmtId="49" fontId="14" fillId="0" borderId="5" xfId="0" applyNumberFormat="1" applyFont="1" applyBorder="1" applyAlignment="1">
      <alignment horizontal="center" vertical="center" wrapText="1"/>
    </xf>
    <xf numFmtId="0" fontId="14" fillId="32" borderId="5" xfId="0" applyFont="1" applyFill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top" wrapText="1"/>
    </xf>
    <xf numFmtId="0" fontId="16" fillId="0" borderId="0" xfId="0" applyFont="1" applyFill="1" applyBorder="1" applyAlignment="1">
      <alignment horizontal="center" vertical="center" wrapText="1"/>
    </xf>
    <xf numFmtId="0" fontId="16" fillId="33" borderId="10" xfId="0" applyFont="1" applyFill="1" applyBorder="1" applyAlignment="1">
      <alignment vertical="top" wrapText="1"/>
    </xf>
    <xf numFmtId="49" fontId="15" fillId="0" borderId="10" xfId="0" applyNumberFormat="1" applyFont="1" applyBorder="1" applyAlignment="1">
      <alignment horizontal="center" vertical="center" wrapText="1"/>
    </xf>
    <xf numFmtId="0" fontId="15" fillId="33" borderId="10" xfId="0" applyFont="1" applyFill="1" applyBorder="1" applyAlignment="1">
      <alignment horizontal="left" vertical="center" wrapText="1"/>
    </xf>
    <xf numFmtId="0" fontId="14" fillId="0" borderId="10" xfId="0" applyFont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5" fillId="33" borderId="2" xfId="0" applyFont="1" applyFill="1" applyBorder="1" applyAlignment="1">
      <alignment horizontal="left" vertical="center" wrapText="1"/>
    </xf>
    <xf numFmtId="0" fontId="14" fillId="0" borderId="2" xfId="0" applyFont="1" applyBorder="1" applyAlignment="1">
      <alignment horizontal="center" vertical="center" wrapText="1"/>
    </xf>
    <xf numFmtId="0" fontId="16" fillId="33" borderId="5" xfId="0" applyFont="1" applyFill="1" applyBorder="1" applyAlignment="1">
      <alignment vertical="top" wrapText="1"/>
    </xf>
    <xf numFmtId="49" fontId="15" fillId="0" borderId="5" xfId="0" applyNumberFormat="1" applyFont="1" applyBorder="1" applyAlignment="1">
      <alignment horizontal="center" vertical="center" wrapText="1"/>
    </xf>
    <xf numFmtId="0" fontId="15" fillId="33" borderId="5" xfId="0" applyFont="1" applyFill="1" applyBorder="1" applyAlignment="1">
      <alignment horizontal="left" vertical="center" wrapText="1"/>
    </xf>
    <xf numFmtId="0" fontId="15" fillId="33" borderId="5" xfId="0" applyFont="1" applyFill="1" applyBorder="1" applyAlignment="1">
      <alignment vertical="top" wrapText="1"/>
    </xf>
    <xf numFmtId="0" fontId="15" fillId="33" borderId="2" xfId="0" applyFont="1" applyFill="1" applyBorder="1" applyAlignment="1">
      <alignment vertical="top" wrapText="1"/>
    </xf>
    <xf numFmtId="49" fontId="15" fillId="0" borderId="0" xfId="0" applyNumberFormat="1" applyFont="1" applyBorder="1" applyAlignment="1">
      <alignment horizontal="center" vertical="center" wrapText="1"/>
    </xf>
    <xf numFmtId="0" fontId="15" fillId="33" borderId="0" xfId="0" applyFont="1" applyFill="1" applyBorder="1" applyAlignment="1">
      <alignment horizontal="left" vertical="center" wrapText="1"/>
    </xf>
    <xf numFmtId="0" fontId="14" fillId="0" borderId="0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6" fillId="0" borderId="2" xfId="0" applyFont="1" applyFill="1" applyBorder="1" applyAlignment="1">
      <alignment horizontal="center" vertical="center" wrapText="1"/>
    </xf>
    <xf numFmtId="0" fontId="14" fillId="0" borderId="2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5" fillId="33" borderId="2" xfId="0" applyFont="1" applyFill="1" applyBorder="1" applyAlignment="1">
      <alignment horizontal="left" vertical="center"/>
    </xf>
    <xf numFmtId="0" fontId="15" fillId="33" borderId="0" xfId="0" applyFont="1" applyFill="1" applyBorder="1" applyAlignment="1">
      <alignment horizontal="left" vertical="center"/>
    </xf>
    <xf numFmtId="0" fontId="15" fillId="0" borderId="10" xfId="0" applyFont="1" applyBorder="1" applyAlignment="1">
      <alignment horizontal="center" vertical="top" wrapText="1"/>
    </xf>
    <xf numFmtId="0" fontId="15" fillId="33" borderId="10" xfId="0" applyFont="1" applyFill="1" applyBorder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quotePrefix="1" applyBorder="1"/>
    <xf numFmtId="0" fontId="0" fillId="0" borderId="0" xfId="0" applyBorder="1"/>
    <xf numFmtId="0" fontId="0" fillId="0" borderId="0" xfId="0" applyBorder="1" applyAlignment="1">
      <alignment horizontal="left" vertical="center"/>
    </xf>
    <xf numFmtId="0" fontId="0" fillId="6" borderId="6" xfId="0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9" borderId="2" xfId="0" applyFill="1" applyBorder="1" applyAlignment="1">
      <alignment horizontal="center"/>
    </xf>
    <xf numFmtId="0" fontId="2" fillId="5" borderId="0" xfId="4" applyFont="1" applyFill="1" applyBorder="1" applyAlignment="1">
      <alignment horizontal="left" vertical="center" wrapText="1" indent="1"/>
    </xf>
    <xf numFmtId="0" fontId="2" fillId="5" borderId="0" xfId="4" applyFont="1" applyFill="1" applyBorder="1" applyAlignment="1">
      <alignment horizontal="left" vertical="center" indent="1"/>
    </xf>
    <xf numFmtId="0" fontId="0" fillId="9" borderId="0" xfId="0" applyFill="1" applyBorder="1" applyAlignment="1">
      <alignment horizontal="left" vertical="center"/>
    </xf>
    <xf numFmtId="0" fontId="0" fillId="20" borderId="0" xfId="0" applyFill="1"/>
    <xf numFmtId="0" fontId="0" fillId="0" borderId="0" xfId="0"/>
    <xf numFmtId="0" fontId="6" fillId="17" borderId="1" xfId="0" applyFont="1" applyFill="1" applyBorder="1" applyAlignment="1">
      <alignment horizontal="center" vertical="center" wrapText="1"/>
    </xf>
    <xf numFmtId="0" fontId="18" fillId="18" borderId="1" xfId="0" applyFont="1" applyFill="1" applyBorder="1" applyAlignment="1">
      <alignment horizontal="center" vertical="center" wrapText="1"/>
    </xf>
    <xf numFmtId="0" fontId="18" fillId="20" borderId="1" xfId="0" applyFont="1" applyFill="1" applyBorder="1" applyAlignment="1">
      <alignment horizontal="center" vertical="center" wrapText="1"/>
    </xf>
    <xf numFmtId="0" fontId="18" fillId="18" borderId="1" xfId="0" applyFont="1" applyFill="1" applyBorder="1" applyAlignment="1">
      <alignment horizontal="left" vertical="center" wrapText="1"/>
    </xf>
    <xf numFmtId="0" fontId="6" fillId="22" borderId="1" xfId="0" applyFont="1" applyFill="1" applyBorder="1" applyAlignment="1">
      <alignment horizontal="center" vertical="center" wrapText="1"/>
    </xf>
    <xf numFmtId="0" fontId="6" fillId="39" borderId="1" xfId="0" applyFont="1" applyFill="1" applyBorder="1" applyAlignment="1">
      <alignment horizontal="center" vertical="center" wrapText="1"/>
    </xf>
    <xf numFmtId="0" fontId="6" fillId="19" borderId="12" xfId="0" applyFont="1" applyFill="1" applyBorder="1" applyAlignment="1">
      <alignment horizontal="center" vertical="center" wrapText="1"/>
    </xf>
    <xf numFmtId="14" fontId="0" fillId="0" borderId="0" xfId="0" applyNumberFormat="1"/>
    <xf numFmtId="0" fontId="6" fillId="30" borderId="12" xfId="0" applyFont="1" applyFill="1" applyBorder="1" applyAlignment="1">
      <alignment horizontal="center" vertical="center" wrapText="1"/>
    </xf>
    <xf numFmtId="0" fontId="18" fillId="34" borderId="1" xfId="0" applyFont="1" applyFill="1" applyBorder="1" applyAlignment="1">
      <alignment horizontal="center" vertical="center" wrapText="1"/>
    </xf>
    <xf numFmtId="0" fontId="12" fillId="24" borderId="1" xfId="0" applyFont="1" applyFill="1" applyBorder="1" applyAlignment="1">
      <alignment horizontal="center" vertical="center" wrapText="1"/>
    </xf>
    <xf numFmtId="0" fontId="3" fillId="37" borderId="1" xfId="0" applyNumberFormat="1" applyFont="1" applyFill="1" applyBorder="1" applyAlignment="1">
      <alignment horizontal="center" vertical="center" wrapText="1"/>
    </xf>
    <xf numFmtId="0" fontId="18" fillId="38" borderId="1" xfId="0" applyFont="1" applyFill="1" applyBorder="1" applyAlignment="1">
      <alignment horizontal="center" vertical="center" wrapText="1"/>
    </xf>
    <xf numFmtId="0" fontId="6" fillId="17" borderId="1" xfId="0" applyFont="1" applyFill="1" applyBorder="1" applyAlignment="1">
      <alignment horizontal="center" vertical="center"/>
    </xf>
    <xf numFmtId="0" fontId="12" fillId="19" borderId="12" xfId="0" applyFont="1" applyFill="1" applyBorder="1" applyAlignment="1">
      <alignment horizontal="center" vertical="center" wrapText="1"/>
    </xf>
    <xf numFmtId="0" fontId="12" fillId="14" borderId="12" xfId="0" applyFont="1" applyFill="1" applyBorder="1" applyAlignment="1">
      <alignment horizontal="center" vertical="center" wrapText="1"/>
    </xf>
    <xf numFmtId="0" fontId="12" fillId="35" borderId="12" xfId="0" applyFont="1" applyFill="1" applyBorder="1" applyAlignment="1">
      <alignment horizontal="center" vertical="center" wrapText="1"/>
    </xf>
    <xf numFmtId="0" fontId="12" fillId="28" borderId="12" xfId="0" applyFont="1" applyFill="1" applyBorder="1" applyAlignment="1">
      <alignment horizontal="center" vertical="center" wrapText="1"/>
    </xf>
    <xf numFmtId="0" fontId="12" fillId="31" borderId="12" xfId="0" applyFont="1" applyFill="1" applyBorder="1" applyAlignment="1">
      <alignment horizontal="center" vertical="center" wrapText="1"/>
    </xf>
    <xf numFmtId="0" fontId="12" fillId="36" borderId="12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  <xf numFmtId="0" fontId="16" fillId="33" borderId="33" xfId="0" applyFont="1" applyFill="1" applyBorder="1" applyAlignment="1">
      <alignment horizontal="left" vertical="top" wrapText="1"/>
    </xf>
    <xf numFmtId="0" fontId="70" fillId="98" borderId="36" xfId="0" applyFont="1" applyFill="1" applyBorder="1" applyAlignment="1" applyProtection="1">
      <alignment horizontal="left" vertical="center"/>
      <protection locked="0"/>
    </xf>
    <xf numFmtId="0" fontId="70" fillId="0" borderId="0" xfId="0" applyFont="1" applyAlignment="1"/>
    <xf numFmtId="0" fontId="70" fillId="0" borderId="0" xfId="0" applyFont="1" applyBorder="1" applyAlignment="1"/>
    <xf numFmtId="0" fontId="70" fillId="0" borderId="0" xfId="0" applyFont="1"/>
    <xf numFmtId="14" fontId="70" fillId="22" borderId="36" xfId="0" applyNumberFormat="1" applyFont="1" applyFill="1" applyBorder="1" applyAlignment="1" applyProtection="1">
      <alignment horizontal="center"/>
      <protection locked="0"/>
    </xf>
    <xf numFmtId="0" fontId="70" fillId="0" borderId="35" xfId="0" applyFont="1" applyFill="1" applyBorder="1" applyAlignment="1">
      <alignment horizontal="left" vertical="center" wrapText="1"/>
    </xf>
    <xf numFmtId="0" fontId="73" fillId="0" borderId="35" xfId="0" applyFont="1" applyFill="1" applyBorder="1" applyAlignment="1">
      <alignment horizontal="left" vertical="center" wrapText="1"/>
    </xf>
    <xf numFmtId="0" fontId="70" fillId="18" borderId="35" xfId="0" applyFont="1" applyFill="1" applyBorder="1" applyAlignment="1">
      <alignment horizontal="left" vertical="center" wrapText="1"/>
    </xf>
    <xf numFmtId="0" fontId="13" fillId="99" borderId="35" xfId="0" applyFont="1" applyFill="1" applyBorder="1" applyAlignment="1">
      <alignment horizontal="left" vertical="center" wrapText="1"/>
    </xf>
    <xf numFmtId="0" fontId="13" fillId="99" borderId="36" xfId="0" applyFont="1" applyFill="1" applyBorder="1" applyAlignment="1">
      <alignment horizontal="left" vertical="center" wrapText="1"/>
    </xf>
    <xf numFmtId="0" fontId="69" fillId="0" borderId="35" xfId="0" applyFont="1" applyFill="1" applyBorder="1" applyAlignment="1">
      <alignment vertical="top" wrapText="1"/>
    </xf>
    <xf numFmtId="0" fontId="74" fillId="0" borderId="35" xfId="0" applyFont="1" applyFill="1" applyBorder="1" applyAlignment="1">
      <alignment vertical="top" wrapText="1"/>
    </xf>
    <xf numFmtId="0" fontId="70" fillId="0" borderId="35" xfId="0" applyFont="1" applyFill="1" applyBorder="1" applyAlignment="1">
      <alignment horizontal="center" vertical="top" wrapText="1"/>
    </xf>
    <xf numFmtId="0" fontId="70" fillId="22" borderId="35" xfId="0" applyFont="1" applyFill="1" applyBorder="1" applyAlignment="1" applyProtection="1">
      <alignment horizontal="center" vertical="top" wrapText="1"/>
      <protection locked="0"/>
    </xf>
    <xf numFmtId="0" fontId="70" fillId="22" borderId="35" xfId="0" applyFont="1" applyFill="1" applyBorder="1" applyAlignment="1" applyProtection="1">
      <alignment horizontal="left" vertical="top" wrapText="1"/>
      <protection locked="0"/>
    </xf>
    <xf numFmtId="2" fontId="70" fillId="9" borderId="35" xfId="0" applyNumberFormat="1" applyFont="1" applyFill="1" applyBorder="1" applyAlignment="1">
      <alignment vertical="top" wrapText="1"/>
    </xf>
    <xf numFmtId="0" fontId="70" fillId="9" borderId="36" xfId="0" applyNumberFormat="1" applyFont="1" applyFill="1" applyBorder="1" applyAlignment="1">
      <alignment horizontal="center" vertical="top" wrapText="1"/>
    </xf>
    <xf numFmtId="0" fontId="70" fillId="0" borderId="0" xfId="0" applyFont="1" applyFill="1"/>
    <xf numFmtId="0" fontId="6" fillId="0" borderId="35" xfId="0" applyFont="1" applyFill="1" applyBorder="1" applyAlignment="1">
      <alignment vertical="top" wrapText="1"/>
    </xf>
    <xf numFmtId="0" fontId="75" fillId="0" borderId="0" xfId="0" applyFont="1" applyFill="1"/>
    <xf numFmtId="0" fontId="69" fillId="0" borderId="38" xfId="0" applyFont="1" applyFill="1" applyBorder="1" applyAlignment="1">
      <alignment vertical="top" wrapText="1"/>
    </xf>
    <xf numFmtId="0" fontId="74" fillId="0" borderId="38" xfId="0" applyFont="1" applyFill="1" applyBorder="1" applyAlignment="1">
      <alignment vertical="top" wrapText="1"/>
    </xf>
    <xf numFmtId="0" fontId="6" fillId="0" borderId="38" xfId="0" applyFont="1" applyFill="1" applyBorder="1" applyAlignment="1">
      <alignment vertical="top" wrapText="1"/>
    </xf>
    <xf numFmtId="0" fontId="74" fillId="0" borderId="38" xfId="0" applyFont="1" applyFill="1" applyBorder="1" applyAlignment="1">
      <alignment horizontal="center" vertical="top" wrapText="1"/>
    </xf>
    <xf numFmtId="0" fontId="70" fillId="22" borderId="38" xfId="0" applyFont="1" applyFill="1" applyBorder="1" applyAlignment="1" applyProtection="1">
      <alignment horizontal="left" vertical="top" wrapText="1"/>
      <protection locked="0"/>
    </xf>
    <xf numFmtId="2" fontId="70" fillId="9" borderId="38" xfId="0" applyNumberFormat="1" applyFont="1" applyFill="1" applyBorder="1" applyAlignment="1">
      <alignment vertical="top" wrapText="1"/>
    </xf>
    <xf numFmtId="0" fontId="70" fillId="9" borderId="39" xfId="0" applyNumberFormat="1" applyFont="1" applyFill="1" applyBorder="1" applyAlignment="1">
      <alignment horizontal="center" vertical="top" wrapText="1"/>
    </xf>
    <xf numFmtId="0" fontId="74" fillId="0" borderId="40" xfId="0" applyFont="1" applyFill="1" applyBorder="1" applyAlignment="1">
      <alignment vertical="top" wrapText="1"/>
    </xf>
    <xf numFmtId="0" fontId="73" fillId="0" borderId="40" xfId="0" applyFont="1" applyFill="1" applyBorder="1" applyAlignment="1">
      <alignment vertical="top" wrapText="1"/>
    </xf>
    <xf numFmtId="0" fontId="76" fillId="0" borderId="40" xfId="0" applyFont="1" applyFill="1" applyBorder="1" applyAlignment="1">
      <alignment vertical="top" wrapText="1"/>
    </xf>
    <xf numFmtId="0" fontId="70" fillId="0" borderId="40" xfId="0" applyFont="1" applyFill="1" applyBorder="1" applyAlignment="1">
      <alignment vertical="top" wrapText="1"/>
    </xf>
    <xf numFmtId="2" fontId="72" fillId="9" borderId="40" xfId="0" applyNumberFormat="1" applyFont="1" applyFill="1" applyBorder="1" applyAlignment="1">
      <alignment vertical="top" wrapText="1"/>
    </xf>
    <xf numFmtId="0" fontId="70" fillId="9" borderId="41" xfId="0" applyNumberFormat="1" applyFont="1" applyFill="1" applyBorder="1" applyAlignment="1">
      <alignment horizontal="center" vertical="top" wrapText="1"/>
    </xf>
    <xf numFmtId="0" fontId="72" fillId="0" borderId="0" xfId="0" applyFont="1"/>
    <xf numFmtId="0" fontId="77" fillId="22" borderId="42" xfId="0" applyFont="1" applyFill="1" applyBorder="1" applyAlignment="1" applyProtection="1">
      <alignment vertical="top"/>
      <protection locked="0"/>
    </xf>
    <xf numFmtId="0" fontId="78" fillId="22" borderId="43" xfId="0" applyFont="1" applyFill="1" applyBorder="1" applyProtection="1">
      <protection locked="0"/>
    </xf>
    <xf numFmtId="0" fontId="78" fillId="22" borderId="44" xfId="0" applyFont="1" applyFill="1" applyBorder="1" applyProtection="1">
      <protection locked="0"/>
    </xf>
    <xf numFmtId="0" fontId="77" fillId="22" borderId="45" xfId="0" applyFont="1" applyFill="1" applyBorder="1" applyProtection="1">
      <protection locked="0"/>
    </xf>
    <xf numFmtId="0" fontId="78" fillId="22" borderId="0" xfId="0" applyFont="1" applyFill="1" applyBorder="1" applyProtection="1">
      <protection locked="0"/>
    </xf>
    <xf numFmtId="0" fontId="78" fillId="22" borderId="46" xfId="0" applyFont="1" applyFill="1" applyBorder="1" applyProtection="1">
      <protection locked="0"/>
    </xf>
    <xf numFmtId="0" fontId="78" fillId="22" borderId="45" xfId="0" applyFont="1" applyFill="1" applyBorder="1" applyProtection="1">
      <protection locked="0"/>
    </xf>
    <xf numFmtId="0" fontId="78" fillId="22" borderId="47" xfId="0" applyFont="1" applyFill="1" applyBorder="1" applyProtection="1">
      <protection locked="0"/>
    </xf>
    <xf numFmtId="0" fontId="78" fillId="22" borderId="48" xfId="0" applyFont="1" applyFill="1" applyBorder="1" applyProtection="1">
      <protection locked="0"/>
    </xf>
    <xf numFmtId="0" fontId="78" fillId="22" borderId="49" xfId="0" applyFont="1" applyFill="1" applyBorder="1" applyProtection="1">
      <protection locked="0"/>
    </xf>
    <xf numFmtId="0" fontId="0" fillId="6" borderId="4" xfId="0" applyFill="1" applyBorder="1" applyAlignment="1">
      <alignment horizontal="left" vertical="center" wrapText="1" indent="1"/>
    </xf>
    <xf numFmtId="0" fontId="0" fillId="6" borderId="5" xfId="0" applyFill="1" applyBorder="1" applyAlignment="1">
      <alignment horizontal="left" vertical="center" wrapText="1" indent="1"/>
    </xf>
    <xf numFmtId="0" fontId="0" fillId="6" borderId="6" xfId="0" applyFill="1" applyBorder="1" applyAlignment="1">
      <alignment horizontal="left" vertical="center" wrapText="1" indent="1"/>
    </xf>
    <xf numFmtId="0" fontId="0" fillId="6" borderId="1" xfId="0" applyFill="1" applyBorder="1" applyAlignment="1">
      <alignment horizontal="center"/>
    </xf>
    <xf numFmtId="0" fontId="2" fillId="5" borderId="0" xfId="4" applyFont="1" applyFill="1" applyBorder="1" applyAlignment="1">
      <alignment horizontal="left" vertic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5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2" fillId="5" borderId="4" xfId="4" applyFont="1" applyFill="1" applyBorder="1" applyAlignment="1">
      <alignment horizontal="center" wrapText="1"/>
    </xf>
    <xf numFmtId="0" fontId="2" fillId="5" borderId="5" xfId="4" applyFont="1" applyFill="1" applyBorder="1" applyAlignment="1">
      <alignment horizontal="center" wrapText="1"/>
    </xf>
    <xf numFmtId="0" fontId="2" fillId="5" borderId="6" xfId="4" applyFont="1" applyFill="1" applyBorder="1" applyAlignment="1">
      <alignment horizontal="center" wrapText="1"/>
    </xf>
    <xf numFmtId="0" fontId="17" fillId="6" borderId="4" xfId="6" applyFill="1" applyBorder="1" applyAlignment="1">
      <alignment horizontal="left" wrapText="1"/>
    </xf>
    <xf numFmtId="0" fontId="17" fillId="6" borderId="5" xfId="6" applyFill="1" applyBorder="1" applyAlignment="1">
      <alignment horizontal="left" wrapText="1"/>
    </xf>
    <xf numFmtId="0" fontId="17" fillId="6" borderId="6" xfId="6" applyFill="1" applyBorder="1" applyAlignment="1">
      <alignment horizontal="left" wrapText="1"/>
    </xf>
    <xf numFmtId="0" fontId="0" fillId="6" borderId="3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9" borderId="7" xfId="0" applyFill="1" applyBorder="1" applyAlignment="1">
      <alignment horizontal="left" vertical="center" indent="1"/>
    </xf>
    <xf numFmtId="0" fontId="0" fillId="9" borderId="0" xfId="0" applyFill="1" applyAlignment="1">
      <alignment horizontal="left" vertical="center" indent="1"/>
    </xf>
    <xf numFmtId="0" fontId="0" fillId="6" borderId="5" xfId="0" applyFill="1" applyBorder="1" applyAlignment="1">
      <alignment horizontal="left" vertical="top" wrapText="1"/>
    </xf>
    <xf numFmtId="0" fontId="0" fillId="6" borderId="6" xfId="0" applyFill="1" applyBorder="1" applyAlignment="1">
      <alignment horizontal="left" vertical="top" wrapText="1"/>
    </xf>
    <xf numFmtId="0" fontId="2" fillId="5" borderId="0" xfId="4" applyFont="1" applyFill="1" applyBorder="1" applyAlignment="1">
      <alignment vertical="center" wrapText="1"/>
    </xf>
    <xf numFmtId="0" fontId="2" fillId="5" borderId="0" xfId="4" applyFont="1" applyFill="1" applyBorder="1" applyAlignment="1">
      <alignment horizontal="left" vertical="center" wrapText="1"/>
    </xf>
    <xf numFmtId="0" fontId="0" fillId="9" borderId="7" xfId="0" applyFill="1" applyBorder="1" applyAlignment="1">
      <alignment horizontal="left" wrapText="1"/>
    </xf>
    <xf numFmtId="0" fontId="0" fillId="9" borderId="0" xfId="0" applyFill="1" applyBorder="1" applyAlignment="1">
      <alignment horizontal="left" wrapText="1"/>
    </xf>
    <xf numFmtId="0" fontId="0" fillId="6" borderId="5" xfId="0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0" fillId="9" borderId="0" xfId="0" applyFill="1" applyBorder="1" applyAlignment="1">
      <alignment horizontal="left" vertical="center"/>
    </xf>
    <xf numFmtId="14" fontId="0" fillId="6" borderId="5" xfId="0" applyNumberForma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10" xfId="0" applyFill="1" applyBorder="1" applyAlignment="1">
      <alignment horizontal="center" vertical="center"/>
    </xf>
    <xf numFmtId="0" fontId="2" fillId="5" borderId="0" xfId="4" applyFont="1" applyFill="1" applyBorder="1" applyAlignment="1">
      <alignment horizontal="center" vertical="center"/>
    </xf>
    <xf numFmtId="0" fontId="2" fillId="5" borderId="0" xfId="4" applyFont="1" applyFill="1" applyBorder="1" applyAlignment="1">
      <alignment horizontal="center" vertical="center" wrapText="1"/>
    </xf>
    <xf numFmtId="0" fontId="2" fillId="20" borderId="0" xfId="0" applyFont="1" applyFill="1" applyAlignment="1">
      <alignment horizontal="center"/>
    </xf>
    <xf numFmtId="0" fontId="15" fillId="33" borderId="2" xfId="0" applyFont="1" applyFill="1" applyBorder="1" applyAlignment="1">
      <alignment horizontal="left" vertical="top" wrapText="1"/>
    </xf>
    <xf numFmtId="0" fontId="15" fillId="33" borderId="0" xfId="0" applyFont="1" applyFill="1" applyBorder="1" applyAlignment="1">
      <alignment horizontal="left" vertical="top" wrapText="1"/>
    </xf>
    <xf numFmtId="0" fontId="15" fillId="33" borderId="10" xfId="0" applyFont="1" applyFill="1" applyBorder="1" applyAlignment="1">
      <alignment horizontal="left" vertical="top" wrapText="1"/>
    </xf>
    <xf numFmtId="0" fontId="16" fillId="33" borderId="2" xfId="0" applyFont="1" applyFill="1" applyBorder="1" applyAlignment="1">
      <alignment horizontal="left" vertical="top" wrapText="1"/>
    </xf>
    <xf numFmtId="0" fontId="16" fillId="33" borderId="10" xfId="0" applyFont="1" applyFill="1" applyBorder="1" applyAlignment="1">
      <alignment horizontal="left" vertical="top" wrapText="1"/>
    </xf>
    <xf numFmtId="0" fontId="16" fillId="33" borderId="0" xfId="0" applyFont="1" applyFill="1" applyBorder="1" applyAlignment="1">
      <alignment horizontal="left" vertical="top" wrapText="1"/>
    </xf>
    <xf numFmtId="0" fontId="16" fillId="33" borderId="8" xfId="0" applyFont="1" applyFill="1" applyBorder="1" applyAlignment="1">
      <alignment horizontal="left" vertical="top" wrapText="1"/>
    </xf>
    <xf numFmtId="0" fontId="16" fillId="33" borderId="7" xfId="0" applyFont="1" applyFill="1" applyBorder="1" applyAlignment="1">
      <alignment horizontal="left" vertical="top" wrapText="1"/>
    </xf>
    <xf numFmtId="0" fontId="69" fillId="0" borderId="34" xfId="0" applyFont="1" applyBorder="1" applyAlignment="1">
      <alignment horizontal="left" vertical="center" indent="5"/>
    </xf>
    <xf numFmtId="0" fontId="69" fillId="0" borderId="35" xfId="0" applyFont="1" applyBorder="1" applyAlignment="1">
      <alignment horizontal="left" vertical="center" indent="5"/>
    </xf>
    <xf numFmtId="0" fontId="71" fillId="0" borderId="0" xfId="0" applyFont="1" applyAlignment="1">
      <alignment horizontal="center" vertical="center"/>
    </xf>
    <xf numFmtId="0" fontId="72" fillId="0" borderId="0" xfId="0" applyFont="1" applyBorder="1" applyAlignment="1">
      <alignment horizontal="left" vertical="center" indent="4"/>
    </xf>
    <xf numFmtId="2" fontId="70" fillId="9" borderId="5" xfId="0" applyNumberFormat="1" applyFont="1" applyFill="1" applyBorder="1" applyAlignment="1">
      <alignment horizontal="left" vertical="center" wrapText="1"/>
    </xf>
    <xf numFmtId="0" fontId="72" fillId="0" borderId="0" xfId="0" applyFont="1" applyAlignment="1">
      <alignment horizontal="left" vertical="top" indent="4"/>
    </xf>
    <xf numFmtId="0" fontId="72" fillId="0" borderId="37" xfId="0" applyFont="1" applyBorder="1" applyAlignment="1">
      <alignment horizontal="left" vertical="top" indent="4"/>
    </xf>
    <xf numFmtId="0" fontId="70" fillId="22" borderId="3" xfId="0" applyFont="1" applyFill="1" applyBorder="1" applyAlignment="1" applyProtection="1">
      <alignment horizontal="center" vertical="center" wrapText="1"/>
      <protection locked="0"/>
    </xf>
    <xf numFmtId="0" fontId="70" fillId="22" borderId="22" xfId="0" applyFont="1" applyFill="1" applyBorder="1" applyAlignment="1" applyProtection="1">
      <alignment horizontal="center" vertical="center" wrapText="1"/>
      <protection locked="0"/>
    </xf>
    <xf numFmtId="0" fontId="70" fillId="22" borderId="2" xfId="0" applyFont="1" applyFill="1" applyBorder="1" applyAlignment="1" applyProtection="1">
      <alignment horizontal="left" vertical="top" wrapText="1"/>
      <protection locked="0"/>
    </xf>
    <xf numFmtId="0" fontId="70" fillId="22" borderId="0" xfId="0" applyFont="1" applyFill="1" applyBorder="1" applyAlignment="1" applyProtection="1">
      <alignment horizontal="left" vertical="top" wrapText="1"/>
      <protection locked="0"/>
    </xf>
    <xf numFmtId="0" fontId="69" fillId="0" borderId="34" xfId="0" applyFont="1" applyFill="1" applyBorder="1" applyAlignment="1">
      <alignment horizontal="left" indent="5"/>
    </xf>
    <xf numFmtId="0" fontId="69" fillId="0" borderId="35" xfId="0" applyFont="1" applyFill="1" applyBorder="1" applyAlignment="1">
      <alignment horizontal="left" indent="5"/>
    </xf>
  </cellXfs>
  <cellStyles count="3784">
    <cellStyle name="_x000d__x000a_JournalTemplate=C:\COMFO\CTALK\JOURSTD.TPL_x000d__x000a_LbStateAddress=3 3 0 251 1 89 2 311_x000d__x000a_LbStateJou" xfId="10"/>
    <cellStyle name="_x000d__x000a_JournalTemplate=C:\COMFO\CTALK\JOURSTD.TPL_x000d__x000a_LbStateAddress=3 3 0 251 1 89 2 311_x000d__x000a_LbStateJou 1" xfId="11"/>
    <cellStyle name="_x000d__x000a_JournalTemplate=C:\COMFO\CTALK\JOURSTD.TPL_x000d__x000a_LbStateAddress=3 3 0 251 1 89 2 311_x000d__x000a_LbStateJou 10" xfId="12"/>
    <cellStyle name="_x000d__x000a_JournalTemplate=C:\COMFO\CTALK\JOURSTD.TPL_x000d__x000a_LbStateAddress=3 3 0 251 1 89 2 311_x000d__x000a_LbStateJou 11" xfId="13"/>
    <cellStyle name="_x000d__x000a_JournalTemplate=C:\COMFO\CTALK\JOURSTD.TPL_x000d__x000a_LbStateAddress=3 3 0 251 1 89 2 311_x000d__x000a_LbStateJou 12" xfId="14"/>
    <cellStyle name="_x000d__x000a_JournalTemplate=C:\COMFO\CTALK\JOURSTD.TPL_x000d__x000a_LbStateAddress=3 3 0 251 1 89 2 311_x000d__x000a_LbStateJou 13" xfId="15"/>
    <cellStyle name="_x000d__x000a_JournalTemplate=C:\COMFO\CTALK\JOURSTD.TPL_x000d__x000a_LbStateAddress=3 3 0 251 1 89 2 311_x000d__x000a_LbStateJou 14" xfId="16"/>
    <cellStyle name="_x000d__x000a_JournalTemplate=C:\COMFO\CTALK\JOURSTD.TPL_x000d__x000a_LbStateAddress=3 3 0 251 1 89 2 311_x000d__x000a_LbStateJou 15" xfId="17"/>
    <cellStyle name="_x000d__x000a_JournalTemplate=C:\COMFO\CTALK\JOURSTD.TPL_x000d__x000a_LbStateAddress=3 3 0 251 1 89 2 311_x000d__x000a_LbStateJou 16" xfId="18"/>
    <cellStyle name="_x000d__x000a_JournalTemplate=C:\COMFO\CTALK\JOURSTD.TPL_x000d__x000a_LbStateAddress=3 3 0 251 1 89 2 311_x000d__x000a_LbStateJou 17" xfId="19"/>
    <cellStyle name="_x000d__x000a_JournalTemplate=C:\COMFO\CTALK\JOURSTD.TPL_x000d__x000a_LbStateAddress=3 3 0 251 1 89 2 311_x000d__x000a_LbStateJou 18" xfId="20"/>
    <cellStyle name="_x000d__x000a_JournalTemplate=C:\COMFO\CTALK\JOURSTD.TPL_x000d__x000a_LbStateAddress=3 3 0 251 1 89 2 311_x000d__x000a_LbStateJou 19" xfId="21"/>
    <cellStyle name="_x000d__x000a_JournalTemplate=C:\COMFO\CTALK\JOURSTD.TPL_x000d__x000a_LbStateAddress=3 3 0 251 1 89 2 311_x000d__x000a_LbStateJou 2" xfId="22"/>
    <cellStyle name="_x000d__x000a_JournalTemplate=C:\COMFO\CTALK\JOURSTD.TPL_x000d__x000a_LbStateAddress=3 3 0 251 1 89 2 311_x000d__x000a_LbStateJou 2 2" xfId="23"/>
    <cellStyle name="_x000d__x000a_JournalTemplate=C:\COMFO\CTALK\JOURSTD.TPL_x000d__x000a_LbStateAddress=3 3 0 251 1 89 2 311_x000d__x000a_LbStateJou 2 3" xfId="3511"/>
    <cellStyle name="_x000d__x000a_JournalTemplate=C:\COMFO\CTALK\JOURSTD.TPL_x000d__x000a_LbStateAddress=3 3 0 251 1 89 2 311_x000d__x000a_LbStateJou 20" xfId="24"/>
    <cellStyle name="_x000d__x000a_JournalTemplate=C:\COMFO\CTALK\JOURSTD.TPL_x000d__x000a_LbStateAddress=3 3 0 251 1 89 2 311_x000d__x000a_LbStateJou 21" xfId="25"/>
    <cellStyle name="_x000d__x000a_JournalTemplate=C:\COMFO\CTALK\JOURSTD.TPL_x000d__x000a_LbStateAddress=3 3 0 251 1 89 2 311_x000d__x000a_LbStateJou 22" xfId="26"/>
    <cellStyle name="_x000d__x000a_JournalTemplate=C:\COMFO\CTALK\JOURSTD.TPL_x000d__x000a_LbStateAddress=3 3 0 251 1 89 2 311_x000d__x000a_LbStateJou 23" xfId="27"/>
    <cellStyle name="_x000d__x000a_JournalTemplate=C:\COMFO\CTALK\JOURSTD.TPL_x000d__x000a_LbStateAddress=3 3 0 251 1 89 2 311_x000d__x000a_LbStateJou 24" xfId="28"/>
    <cellStyle name="_x000d__x000a_JournalTemplate=C:\COMFO\CTALK\JOURSTD.TPL_x000d__x000a_LbStateAddress=3 3 0 251 1 89 2 311_x000d__x000a_LbStateJou 25" xfId="29"/>
    <cellStyle name="_x000d__x000a_JournalTemplate=C:\COMFO\CTALK\JOURSTD.TPL_x000d__x000a_LbStateAddress=3 3 0 251 1 89 2 311_x000d__x000a_LbStateJou 26" xfId="30"/>
    <cellStyle name="_x000d__x000a_JournalTemplate=C:\COMFO\CTALK\JOURSTD.TPL_x000d__x000a_LbStateAddress=3 3 0 251 1 89 2 311_x000d__x000a_LbStateJou 27" xfId="31"/>
    <cellStyle name="_x000d__x000a_JournalTemplate=C:\COMFO\CTALK\JOURSTD.TPL_x000d__x000a_LbStateAddress=3 3 0 251 1 89 2 311_x000d__x000a_LbStateJou 28" xfId="32"/>
    <cellStyle name="_x000d__x000a_JournalTemplate=C:\COMFO\CTALK\JOURSTD.TPL_x000d__x000a_LbStateAddress=3 3 0 251 1 89 2 311_x000d__x000a_LbStateJou 29" xfId="33"/>
    <cellStyle name="_x000d__x000a_JournalTemplate=C:\COMFO\CTALK\JOURSTD.TPL_x000d__x000a_LbStateAddress=3 3 0 251 1 89 2 311_x000d__x000a_LbStateJou 3" xfId="34"/>
    <cellStyle name="_x000d__x000a_JournalTemplate=C:\COMFO\CTALK\JOURSTD.TPL_x000d__x000a_LbStateAddress=3 3 0 251 1 89 2 311_x000d__x000a_LbStateJou 3 2" xfId="35"/>
    <cellStyle name="_x000d__x000a_JournalTemplate=C:\COMFO\CTALK\JOURSTD.TPL_x000d__x000a_LbStateAddress=3 3 0 251 1 89 2 311_x000d__x000a_LbStateJou 3 3" xfId="3632"/>
    <cellStyle name="_x000d__x000a_JournalTemplate=C:\COMFO\CTALK\JOURSTD.TPL_x000d__x000a_LbStateAddress=3 3 0 251 1 89 2 311_x000d__x000a_LbStateJou 30" xfId="36"/>
    <cellStyle name="_x000d__x000a_JournalTemplate=C:\COMFO\CTALK\JOURSTD.TPL_x000d__x000a_LbStateAddress=3 3 0 251 1 89 2 311_x000d__x000a_LbStateJou 31" xfId="37"/>
    <cellStyle name="_x000d__x000a_JournalTemplate=C:\COMFO\CTALK\JOURSTD.TPL_x000d__x000a_LbStateAddress=3 3 0 251 1 89 2 311_x000d__x000a_LbStateJou 32" xfId="38"/>
    <cellStyle name="_x000d__x000a_JournalTemplate=C:\COMFO\CTALK\JOURSTD.TPL_x000d__x000a_LbStateAddress=3 3 0 251 1 89 2 311_x000d__x000a_LbStateJou 33" xfId="39"/>
    <cellStyle name="_x000d__x000a_JournalTemplate=C:\COMFO\CTALK\JOURSTD.TPL_x000d__x000a_LbStateAddress=3 3 0 251 1 89 2 311_x000d__x000a_LbStateJou 34" xfId="40"/>
    <cellStyle name="_x000d__x000a_JournalTemplate=C:\COMFO\CTALK\JOURSTD.TPL_x000d__x000a_LbStateAddress=3 3 0 251 1 89 2 311_x000d__x000a_LbStateJou 35" xfId="41"/>
    <cellStyle name="_x000d__x000a_JournalTemplate=C:\COMFO\CTALK\JOURSTD.TPL_x000d__x000a_LbStateAddress=3 3 0 251 1 89 2 311_x000d__x000a_LbStateJou 36" xfId="42"/>
    <cellStyle name="_x000d__x000a_JournalTemplate=C:\COMFO\CTALK\JOURSTD.TPL_x000d__x000a_LbStateAddress=3 3 0 251 1 89 2 311_x000d__x000a_LbStateJou 37" xfId="43"/>
    <cellStyle name="_x000d__x000a_JournalTemplate=C:\COMFO\CTALK\JOURSTD.TPL_x000d__x000a_LbStateAddress=3 3 0 251 1 89 2 311_x000d__x000a_LbStateJou 38" xfId="44"/>
    <cellStyle name="_x000d__x000a_JournalTemplate=C:\COMFO\CTALK\JOURSTD.TPL_x000d__x000a_LbStateAddress=3 3 0 251 1 89 2 311_x000d__x000a_LbStateJou 39" xfId="45"/>
    <cellStyle name="_x000d__x000a_JournalTemplate=C:\COMFO\CTALK\JOURSTD.TPL_x000d__x000a_LbStateAddress=3 3 0 251 1 89 2 311_x000d__x000a_LbStateJou 4" xfId="46"/>
    <cellStyle name="_x000d__x000a_JournalTemplate=C:\COMFO\CTALK\JOURSTD.TPL_x000d__x000a_LbStateAddress=3 3 0 251 1 89 2 311_x000d__x000a_LbStateJou 40" xfId="47"/>
    <cellStyle name="_x000d__x000a_JournalTemplate=C:\COMFO\CTALK\JOURSTD.TPL_x000d__x000a_LbStateAddress=3 3 0 251 1 89 2 311_x000d__x000a_LbStateJou 5" xfId="48"/>
    <cellStyle name="_x000d__x000a_JournalTemplate=C:\COMFO\CTALK\JOURSTD.TPL_x000d__x000a_LbStateAddress=3 3 0 251 1 89 2 311_x000d__x000a_LbStateJou 6" xfId="49"/>
    <cellStyle name="_x000d__x000a_JournalTemplate=C:\COMFO\CTALK\JOURSTD.TPL_x000d__x000a_LbStateAddress=3 3 0 251 1 89 2 311_x000d__x000a_LbStateJou 7" xfId="50"/>
    <cellStyle name="_x000d__x000a_JournalTemplate=C:\COMFO\CTALK\JOURSTD.TPL_x000d__x000a_LbStateAddress=3 3 0 251 1 89 2 311_x000d__x000a_LbStateJou 8" xfId="51"/>
    <cellStyle name="_x000d__x000a_JournalTemplate=C:\COMFO\CTALK\JOURSTD.TPL_x000d__x000a_LbStateAddress=3 3 0 251 1 89 2 311_x000d__x000a_LbStateJou 9" xfId="52"/>
    <cellStyle name="_Column1" xfId="53"/>
    <cellStyle name="_Column1 2" xfId="54"/>
    <cellStyle name="_Column1 2 10" xfId="55"/>
    <cellStyle name="_Column1 2 11" xfId="56"/>
    <cellStyle name="_Column1 2 12" xfId="57"/>
    <cellStyle name="_Column1 2 13" xfId="58"/>
    <cellStyle name="_Column1 2 14" xfId="59"/>
    <cellStyle name="_Column1 2 15" xfId="60"/>
    <cellStyle name="_Column1 2 16" xfId="61"/>
    <cellStyle name="_Column1 2 17" xfId="62"/>
    <cellStyle name="_Column1 2 18" xfId="63"/>
    <cellStyle name="_Column1 2 19" xfId="64"/>
    <cellStyle name="_Column1 2 2" xfId="65"/>
    <cellStyle name="_Column1 2 2 2" xfId="3603"/>
    <cellStyle name="_Column1 2 2 3" xfId="3743"/>
    <cellStyle name="_Column1 2 20" xfId="66"/>
    <cellStyle name="_Column1 2 21" xfId="67"/>
    <cellStyle name="_Column1 2 22" xfId="68"/>
    <cellStyle name="_Column1 2 23" xfId="69"/>
    <cellStyle name="_Column1 2 24" xfId="70"/>
    <cellStyle name="_Column1 2 25" xfId="71"/>
    <cellStyle name="_Column1 2 26" xfId="72"/>
    <cellStyle name="_Column1 2 27" xfId="73"/>
    <cellStyle name="_Column1 2 28" xfId="74"/>
    <cellStyle name="_Column1 2 29" xfId="75"/>
    <cellStyle name="_Column1 2 3" xfId="76"/>
    <cellStyle name="_Column1 2 30" xfId="77"/>
    <cellStyle name="_Column1 2 31" xfId="78"/>
    <cellStyle name="_Column1 2 32" xfId="79"/>
    <cellStyle name="_Column1 2 33" xfId="80"/>
    <cellStyle name="_Column1 2 34" xfId="81"/>
    <cellStyle name="_Column1 2 35" xfId="82"/>
    <cellStyle name="_Column1 2 36" xfId="83"/>
    <cellStyle name="_Column1 2 37" xfId="84"/>
    <cellStyle name="_Column1 2 38" xfId="85"/>
    <cellStyle name="_Column1 2 39" xfId="86"/>
    <cellStyle name="_Column1 2 4" xfId="87"/>
    <cellStyle name="_Column1 2 4 2" xfId="3634"/>
    <cellStyle name="_Column1 2 40" xfId="88"/>
    <cellStyle name="_Column1 2 41" xfId="89"/>
    <cellStyle name="_Column1 2 42" xfId="90"/>
    <cellStyle name="_Column1 2 43" xfId="91"/>
    <cellStyle name="_Column1 2 44" xfId="92"/>
    <cellStyle name="_Column1 2 45" xfId="93"/>
    <cellStyle name="_Column1 2 46" xfId="94"/>
    <cellStyle name="_Column1 2 47" xfId="95"/>
    <cellStyle name="_Column1 2 5" xfId="96"/>
    <cellStyle name="_Column1 2 6" xfId="97"/>
    <cellStyle name="_Column1 2 7" xfId="98"/>
    <cellStyle name="_Column1 2 8" xfId="99"/>
    <cellStyle name="_Column1 2 9" xfId="100"/>
    <cellStyle name="_Column1 3" xfId="101"/>
    <cellStyle name="_Column1 3 2" xfId="102"/>
    <cellStyle name="_Column1 3 2 2" xfId="3604"/>
    <cellStyle name="_Column1 3 2 3" xfId="3744"/>
    <cellStyle name="_Column1 3 3" xfId="103"/>
    <cellStyle name="_Column1 3 4" xfId="3635"/>
    <cellStyle name="_Column1 4" xfId="104"/>
    <cellStyle name="_Column1 4 2" xfId="105"/>
    <cellStyle name="_Column1 4 2 2" xfId="3605"/>
    <cellStyle name="_Column1 4 2 3" xfId="3745"/>
    <cellStyle name="_Column1 4 3" xfId="3513"/>
    <cellStyle name="_Column1 4 4" xfId="3636"/>
    <cellStyle name="_Column1 5" xfId="3512"/>
    <cellStyle name="_Column1 6" xfId="3633"/>
    <cellStyle name="_Column1_ControlFacturesRebudes - CASA tancament 2009" xfId="106"/>
    <cellStyle name="_Column2" xfId="107"/>
    <cellStyle name="_Column2 2" xfId="3514"/>
    <cellStyle name="_Column2 3" xfId="3637"/>
    <cellStyle name="_Column2_Business Review BC CS Mitte-West" xfId="108"/>
    <cellStyle name="_Column2_Business Review BC CS Mitte-West 2" xfId="3515"/>
    <cellStyle name="_Column2_Business Review BC CS Mitte-West 3" xfId="3638"/>
    <cellStyle name="_Column3" xfId="109"/>
    <cellStyle name="_Column3 2" xfId="3516"/>
    <cellStyle name="_Column3 3" xfId="3639"/>
    <cellStyle name="_Column3_Business Review BC CS Mitte-West" xfId="110"/>
    <cellStyle name="_Column3_Business Review BC CS Mitte-West 2" xfId="3517"/>
    <cellStyle name="_Column3_Business Review BC CS Mitte-West 3" xfId="3640"/>
    <cellStyle name="_Column4" xfId="111"/>
    <cellStyle name="_Column4 2" xfId="3518"/>
    <cellStyle name="_Column4 3" xfId="3641"/>
    <cellStyle name="_Column4_Business Review BC CS Mitte-West" xfId="112"/>
    <cellStyle name="_Column4_Business Review BC CS Mitte-West 2" xfId="3519"/>
    <cellStyle name="_Column4_Business Review BC CS Mitte-West 3" xfId="3642"/>
    <cellStyle name="_Column5" xfId="113"/>
    <cellStyle name="_Column5 2" xfId="3520"/>
    <cellStyle name="_Column5 3" xfId="3643"/>
    <cellStyle name="_Column5_Business Review BC CS Mitte-West" xfId="114"/>
    <cellStyle name="_Column5_Business Review BC CS Mitte-West 2" xfId="3521"/>
    <cellStyle name="_Column5_Business Review BC CS Mitte-West 3" xfId="3644"/>
    <cellStyle name="_Column6" xfId="115"/>
    <cellStyle name="_Column6 2" xfId="3522"/>
    <cellStyle name="_Column6 3" xfId="3645"/>
    <cellStyle name="_Column6_Business Review BC CS Mitte-West" xfId="116"/>
    <cellStyle name="_Column6_Business Review BC CS Mitte-West 2" xfId="3523"/>
    <cellStyle name="_Column6_Business Review BC CS Mitte-West 3" xfId="3646"/>
    <cellStyle name="_Column7" xfId="117"/>
    <cellStyle name="_Column7 2" xfId="3524"/>
    <cellStyle name="_Column7 3" xfId="3647"/>
    <cellStyle name="_Column7_Business Review BC CS Mitte-West" xfId="118"/>
    <cellStyle name="_Column7_Business Review BC CS Mitte-West 2" xfId="3525"/>
    <cellStyle name="_Column7_Business Review BC CS Mitte-West 3" xfId="3648"/>
    <cellStyle name="_Data" xfId="119"/>
    <cellStyle name="_Data_Business Review BC CS Mitte-West" xfId="120"/>
    <cellStyle name="_Data_Business Review BC CS Mitte-West 2" xfId="121"/>
    <cellStyle name="_Data_Business Review BC CS Mitte-West_ControlFacturesRebudes - CASA tancament 2009" xfId="122"/>
    <cellStyle name="_Data_D_Sicht_V7" xfId="123"/>
    <cellStyle name="_Header" xfId="124"/>
    <cellStyle name="_Header 2" xfId="3526"/>
    <cellStyle name="_Header 3" xfId="3649"/>
    <cellStyle name="_Header_Business Review BC CS Mitte-West" xfId="125"/>
    <cellStyle name="_Header_Business Review BC CS Mitte-West 2" xfId="3527"/>
    <cellStyle name="_Header_Business Review BC CS Mitte-West 3" xfId="3650"/>
    <cellStyle name="_Row1" xfId="126"/>
    <cellStyle name="_Row1 2" xfId="127"/>
    <cellStyle name="_Row1 2 10" xfId="128"/>
    <cellStyle name="_Row1 2 11" xfId="129"/>
    <cellStyle name="_Row1 2 12" xfId="130"/>
    <cellStyle name="_Row1 2 13" xfId="131"/>
    <cellStyle name="_Row1 2 14" xfId="132"/>
    <cellStyle name="_Row1 2 15" xfId="133"/>
    <cellStyle name="_Row1 2 16" xfId="134"/>
    <cellStyle name="_Row1 2 17" xfId="135"/>
    <cellStyle name="_Row1 2 18" xfId="136"/>
    <cellStyle name="_Row1 2 19" xfId="137"/>
    <cellStyle name="_Row1 2 2" xfId="138"/>
    <cellStyle name="_Row1 2 2 2" xfId="3606"/>
    <cellStyle name="_Row1 2 2 3" xfId="3746"/>
    <cellStyle name="_Row1 2 20" xfId="139"/>
    <cellStyle name="_Row1 2 21" xfId="140"/>
    <cellStyle name="_Row1 2 22" xfId="141"/>
    <cellStyle name="_Row1 2 23" xfId="142"/>
    <cellStyle name="_Row1 2 24" xfId="143"/>
    <cellStyle name="_Row1 2 25" xfId="144"/>
    <cellStyle name="_Row1 2 26" xfId="145"/>
    <cellStyle name="_Row1 2 27" xfId="146"/>
    <cellStyle name="_Row1 2 28" xfId="147"/>
    <cellStyle name="_Row1 2 29" xfId="148"/>
    <cellStyle name="_Row1 2 3" xfId="149"/>
    <cellStyle name="_Row1 2 30" xfId="150"/>
    <cellStyle name="_Row1 2 31" xfId="151"/>
    <cellStyle name="_Row1 2 32" xfId="152"/>
    <cellStyle name="_Row1 2 33" xfId="153"/>
    <cellStyle name="_Row1 2 34" xfId="154"/>
    <cellStyle name="_Row1 2 35" xfId="155"/>
    <cellStyle name="_Row1 2 36" xfId="156"/>
    <cellStyle name="_Row1 2 37" xfId="157"/>
    <cellStyle name="_Row1 2 38" xfId="158"/>
    <cellStyle name="_Row1 2 39" xfId="159"/>
    <cellStyle name="_Row1 2 4" xfId="160"/>
    <cellStyle name="_Row1 2 4 2" xfId="3652"/>
    <cellStyle name="_Row1 2 40" xfId="161"/>
    <cellStyle name="_Row1 2 41" xfId="162"/>
    <cellStyle name="_Row1 2 42" xfId="163"/>
    <cellStyle name="_Row1 2 43" xfId="164"/>
    <cellStyle name="_Row1 2 44" xfId="165"/>
    <cellStyle name="_Row1 2 45" xfId="166"/>
    <cellStyle name="_Row1 2 46" xfId="167"/>
    <cellStyle name="_Row1 2 47" xfId="168"/>
    <cellStyle name="_Row1 2 5" xfId="169"/>
    <cellStyle name="_Row1 2 6" xfId="170"/>
    <cellStyle name="_Row1 2 7" xfId="171"/>
    <cellStyle name="_Row1 2 8" xfId="172"/>
    <cellStyle name="_Row1 2 9" xfId="173"/>
    <cellStyle name="_Row1 3" xfId="174"/>
    <cellStyle name="_Row1 3 2" xfId="175"/>
    <cellStyle name="_Row1 3 2 2" xfId="3607"/>
    <cellStyle name="_Row1 3 2 3" xfId="3747"/>
    <cellStyle name="_Row1 3 3" xfId="176"/>
    <cellStyle name="_Row1 3 4" xfId="3653"/>
    <cellStyle name="_Row1 4" xfId="177"/>
    <cellStyle name="_Row1 4 2" xfId="178"/>
    <cellStyle name="_Row1 4 2 2" xfId="3608"/>
    <cellStyle name="_Row1 4 2 3" xfId="3748"/>
    <cellStyle name="_Row1 4 3" xfId="3529"/>
    <cellStyle name="_Row1 4 4" xfId="3654"/>
    <cellStyle name="_Row1 5" xfId="3528"/>
    <cellStyle name="_Row1 6" xfId="3651"/>
    <cellStyle name="_Row1_ControlFacturesRebudes - CASA tancament 2009" xfId="179"/>
    <cellStyle name="_Row2" xfId="180"/>
    <cellStyle name="_Row2 2" xfId="3530"/>
    <cellStyle name="_Row2 3" xfId="3655"/>
    <cellStyle name="_Row2_Business Review BC CS Mitte-West" xfId="181"/>
    <cellStyle name="_Row2_Business Review BC CS Mitte-West 2" xfId="3531"/>
    <cellStyle name="_Row2_Business Review BC CS Mitte-West 3" xfId="3656"/>
    <cellStyle name="_Row3" xfId="182"/>
    <cellStyle name="_Row3 2" xfId="3532"/>
    <cellStyle name="_Row3 3" xfId="3657"/>
    <cellStyle name="_Row3_Business Review BC CS Mitte-West" xfId="183"/>
    <cellStyle name="_Row3_Business Review BC CS Mitte-West 2" xfId="3533"/>
    <cellStyle name="_Row3_Business Review BC CS Mitte-West 3" xfId="3658"/>
    <cellStyle name="_Row4" xfId="184"/>
    <cellStyle name="_Row4 10" xfId="185"/>
    <cellStyle name="_Row4 11" xfId="186"/>
    <cellStyle name="_Row4 12" xfId="187"/>
    <cellStyle name="_Row4 13" xfId="188"/>
    <cellStyle name="_Row4 14" xfId="189"/>
    <cellStyle name="_Row4 15" xfId="190"/>
    <cellStyle name="_Row4 16" xfId="191"/>
    <cellStyle name="_Row4 17" xfId="192"/>
    <cellStyle name="_Row4 18" xfId="193"/>
    <cellStyle name="_Row4 19" xfId="194"/>
    <cellStyle name="_Row4 2" xfId="195"/>
    <cellStyle name="_Row4 2 2" xfId="3609"/>
    <cellStyle name="_Row4 2 3" xfId="3749"/>
    <cellStyle name="_Row4 20" xfId="196"/>
    <cellStyle name="_Row4 21" xfId="197"/>
    <cellStyle name="_Row4 22" xfId="198"/>
    <cellStyle name="_Row4 23" xfId="199"/>
    <cellStyle name="_Row4 24" xfId="200"/>
    <cellStyle name="_Row4 25" xfId="201"/>
    <cellStyle name="_Row4 26" xfId="202"/>
    <cellStyle name="_Row4 27" xfId="203"/>
    <cellStyle name="_Row4 28" xfId="204"/>
    <cellStyle name="_Row4 29" xfId="205"/>
    <cellStyle name="_Row4 3" xfId="206"/>
    <cellStyle name="_Row4 30" xfId="207"/>
    <cellStyle name="_Row4 31" xfId="208"/>
    <cellStyle name="_Row4 32" xfId="209"/>
    <cellStyle name="_Row4 33" xfId="210"/>
    <cellStyle name="_Row4 34" xfId="211"/>
    <cellStyle name="_Row4 35" xfId="212"/>
    <cellStyle name="_Row4 36" xfId="213"/>
    <cellStyle name="_Row4 37" xfId="214"/>
    <cellStyle name="_Row4 38" xfId="215"/>
    <cellStyle name="_Row4 39" xfId="216"/>
    <cellStyle name="_Row4 4" xfId="217"/>
    <cellStyle name="_Row4 4 2" xfId="3659"/>
    <cellStyle name="_Row4 40" xfId="218"/>
    <cellStyle name="_Row4 41" xfId="219"/>
    <cellStyle name="_Row4 42" xfId="220"/>
    <cellStyle name="_Row4 43" xfId="221"/>
    <cellStyle name="_Row4 44" xfId="222"/>
    <cellStyle name="_Row4 45" xfId="223"/>
    <cellStyle name="_Row4 46" xfId="224"/>
    <cellStyle name="_Row4 47" xfId="225"/>
    <cellStyle name="_Row4 5" xfId="226"/>
    <cellStyle name="_Row4 6" xfId="227"/>
    <cellStyle name="_Row4 7" xfId="228"/>
    <cellStyle name="_Row4 8" xfId="229"/>
    <cellStyle name="_Row4 9" xfId="230"/>
    <cellStyle name="_Row4_Business Review BC CS Mitte-West" xfId="231"/>
    <cellStyle name="_Row4_Business Review BC CS Mitte-West 2" xfId="232"/>
    <cellStyle name="_Row4_Business Review BC CS Mitte-West 3" xfId="3660"/>
    <cellStyle name="_Row4_Business Review BC CS Mitte-West_ControlFacturesRebudes - CASA tancament 2009" xfId="233"/>
    <cellStyle name="_Row5" xfId="234"/>
    <cellStyle name="_Row5 2" xfId="3534"/>
    <cellStyle name="_Row5 3" xfId="3661"/>
    <cellStyle name="_Row5_Business Review BC CS Mitte-West" xfId="235"/>
    <cellStyle name="_Row5_Business Review BC CS Mitte-West 2" xfId="3535"/>
    <cellStyle name="_Row5_Business Review BC CS Mitte-West 3" xfId="3662"/>
    <cellStyle name="_Row6" xfId="236"/>
    <cellStyle name="_Row6 2" xfId="3536"/>
    <cellStyle name="_Row6 3" xfId="3663"/>
    <cellStyle name="_Row6_Business Review BC CS Mitte-West" xfId="237"/>
    <cellStyle name="_Row6_Business Review BC CS Mitte-West 2" xfId="3537"/>
    <cellStyle name="_Row6_Business Review BC CS Mitte-West 3" xfId="3664"/>
    <cellStyle name="_Row7" xfId="238"/>
    <cellStyle name="_Row7 2" xfId="3538"/>
    <cellStyle name="_Row7 3" xfId="3665"/>
    <cellStyle name="_Row7_Business Review BC CS Mitte-West" xfId="239"/>
    <cellStyle name="_Row7_Business Review BC CS Mitte-West 2" xfId="3539"/>
    <cellStyle name="_Row7_Business Review BC CS Mitte-West 3" xfId="3666"/>
    <cellStyle name="20% - Accent1 1" xfId="240"/>
    <cellStyle name="20% - Accent1 10" xfId="241"/>
    <cellStyle name="20% - Accent1 11" xfId="242"/>
    <cellStyle name="20% - Accent1 12" xfId="243"/>
    <cellStyle name="20% - Accent1 13" xfId="244"/>
    <cellStyle name="20% - Accent1 14" xfId="245"/>
    <cellStyle name="20% - Accent1 15" xfId="246"/>
    <cellStyle name="20% - Accent1 16" xfId="247"/>
    <cellStyle name="20% - Accent1 17" xfId="248"/>
    <cellStyle name="20% - Accent1 18" xfId="249"/>
    <cellStyle name="20% - Accent1 19" xfId="250"/>
    <cellStyle name="20% - Accent1 2" xfId="251"/>
    <cellStyle name="20% - Accent1 2 2" xfId="252"/>
    <cellStyle name="20% - Accent1 2 2 2" xfId="253"/>
    <cellStyle name="20% - Accent1 2 2 2 2" xfId="254"/>
    <cellStyle name="20% - Accent1 2 2 2 3" xfId="255"/>
    <cellStyle name="20% - Accent1 2 2 3" xfId="256"/>
    <cellStyle name="20% - Accent1 2 2 4" xfId="257"/>
    <cellStyle name="20% - Accent1 20" xfId="258"/>
    <cellStyle name="20% - Accent1 21" xfId="259"/>
    <cellStyle name="20% - Accent1 22" xfId="260"/>
    <cellStyle name="20% - Accent1 23" xfId="261"/>
    <cellStyle name="20% - Accent1 24" xfId="262"/>
    <cellStyle name="20% - Accent1 25" xfId="263"/>
    <cellStyle name="20% - Accent1 26" xfId="264"/>
    <cellStyle name="20% - Accent1 27" xfId="265"/>
    <cellStyle name="20% - Accent1 28" xfId="266"/>
    <cellStyle name="20% - Accent1 29" xfId="267"/>
    <cellStyle name="20% - Accent1 3" xfId="268"/>
    <cellStyle name="20% - Accent1 30" xfId="269"/>
    <cellStyle name="20% - Accent1 31" xfId="270"/>
    <cellStyle name="20% - Accent1 32" xfId="271"/>
    <cellStyle name="20% - Accent1 33" xfId="272"/>
    <cellStyle name="20% - Accent1 34" xfId="273"/>
    <cellStyle name="20% - Accent1 35" xfId="274"/>
    <cellStyle name="20% - Accent1 36" xfId="275"/>
    <cellStyle name="20% - Accent1 37" xfId="276"/>
    <cellStyle name="20% - Accent1 38" xfId="277"/>
    <cellStyle name="20% - Accent1 39" xfId="278"/>
    <cellStyle name="20% - Accent1 4" xfId="279"/>
    <cellStyle name="20% - Accent1 40" xfId="280"/>
    <cellStyle name="20% - Accent1 41" xfId="281"/>
    <cellStyle name="20% - Accent1 5" xfId="282"/>
    <cellStyle name="20% - Accent1 6" xfId="283"/>
    <cellStyle name="20% - Accent1 7" xfId="284"/>
    <cellStyle name="20% - Accent1 8" xfId="285"/>
    <cellStyle name="20% - Accent1 9" xfId="286"/>
    <cellStyle name="20% - Accent2 1" xfId="287"/>
    <cellStyle name="20% - Accent2 10" xfId="288"/>
    <cellStyle name="20% - Accent2 11" xfId="289"/>
    <cellStyle name="20% - Accent2 12" xfId="290"/>
    <cellStyle name="20% - Accent2 13" xfId="291"/>
    <cellStyle name="20% - Accent2 14" xfId="292"/>
    <cellStyle name="20% - Accent2 15" xfId="293"/>
    <cellStyle name="20% - Accent2 16" xfId="294"/>
    <cellStyle name="20% - Accent2 17" xfId="295"/>
    <cellStyle name="20% - Accent2 18" xfId="296"/>
    <cellStyle name="20% - Accent2 19" xfId="297"/>
    <cellStyle name="20% - Accent2 2" xfId="298"/>
    <cellStyle name="20% - Accent2 2 2" xfId="299"/>
    <cellStyle name="20% - Accent2 2 2 2" xfId="300"/>
    <cellStyle name="20% - Accent2 2 2 2 2" xfId="301"/>
    <cellStyle name="20% - Accent2 2 2 2 3" xfId="302"/>
    <cellStyle name="20% - Accent2 2 2 3" xfId="303"/>
    <cellStyle name="20% - Accent2 2 2 4" xfId="304"/>
    <cellStyle name="20% - Accent2 20" xfId="305"/>
    <cellStyle name="20% - Accent2 21" xfId="306"/>
    <cellStyle name="20% - Accent2 22" xfId="307"/>
    <cellStyle name="20% - Accent2 23" xfId="308"/>
    <cellStyle name="20% - Accent2 24" xfId="309"/>
    <cellStyle name="20% - Accent2 25" xfId="310"/>
    <cellStyle name="20% - Accent2 26" xfId="311"/>
    <cellStyle name="20% - Accent2 27" xfId="312"/>
    <cellStyle name="20% - Accent2 28" xfId="313"/>
    <cellStyle name="20% - Accent2 29" xfId="314"/>
    <cellStyle name="20% - Accent2 3" xfId="315"/>
    <cellStyle name="20% - Accent2 30" xfId="316"/>
    <cellStyle name="20% - Accent2 31" xfId="317"/>
    <cellStyle name="20% - Accent2 32" xfId="318"/>
    <cellStyle name="20% - Accent2 33" xfId="319"/>
    <cellStyle name="20% - Accent2 34" xfId="320"/>
    <cellStyle name="20% - Accent2 35" xfId="321"/>
    <cellStyle name="20% - Accent2 36" xfId="322"/>
    <cellStyle name="20% - Accent2 37" xfId="323"/>
    <cellStyle name="20% - Accent2 38" xfId="324"/>
    <cellStyle name="20% - Accent2 39" xfId="325"/>
    <cellStyle name="20% - Accent2 4" xfId="326"/>
    <cellStyle name="20% - Accent2 40" xfId="327"/>
    <cellStyle name="20% - Accent2 41" xfId="328"/>
    <cellStyle name="20% - Accent2 5" xfId="329"/>
    <cellStyle name="20% - Accent2 6" xfId="330"/>
    <cellStyle name="20% - Accent2 7" xfId="331"/>
    <cellStyle name="20% - Accent2 8" xfId="332"/>
    <cellStyle name="20% - Accent2 9" xfId="333"/>
    <cellStyle name="20% - Accent3 1" xfId="334"/>
    <cellStyle name="20% - Accent3 10" xfId="335"/>
    <cellStyle name="20% - Accent3 11" xfId="336"/>
    <cellStyle name="20% - Accent3 12" xfId="337"/>
    <cellStyle name="20% - Accent3 13" xfId="338"/>
    <cellStyle name="20% - Accent3 14" xfId="339"/>
    <cellStyle name="20% - Accent3 15" xfId="340"/>
    <cellStyle name="20% - Accent3 16" xfId="341"/>
    <cellStyle name="20% - Accent3 17" xfId="342"/>
    <cellStyle name="20% - Accent3 18" xfId="343"/>
    <cellStyle name="20% - Accent3 19" xfId="344"/>
    <cellStyle name="20% - Accent3 2" xfId="345"/>
    <cellStyle name="20% - Accent3 2 2" xfId="346"/>
    <cellStyle name="20% - Accent3 2 2 2" xfId="347"/>
    <cellStyle name="20% - Accent3 2 2 2 2" xfId="348"/>
    <cellStyle name="20% - Accent3 2 2 2 3" xfId="349"/>
    <cellStyle name="20% - Accent3 2 2 3" xfId="350"/>
    <cellStyle name="20% - Accent3 2 2 4" xfId="351"/>
    <cellStyle name="20% - Accent3 20" xfId="352"/>
    <cellStyle name="20% - Accent3 21" xfId="353"/>
    <cellStyle name="20% - Accent3 22" xfId="354"/>
    <cellStyle name="20% - Accent3 23" xfId="355"/>
    <cellStyle name="20% - Accent3 24" xfId="356"/>
    <cellStyle name="20% - Accent3 25" xfId="357"/>
    <cellStyle name="20% - Accent3 26" xfId="358"/>
    <cellStyle name="20% - Accent3 27" xfId="359"/>
    <cellStyle name="20% - Accent3 28" xfId="360"/>
    <cellStyle name="20% - Accent3 29" xfId="361"/>
    <cellStyle name="20% - Accent3 3" xfId="362"/>
    <cellStyle name="20% - Accent3 30" xfId="363"/>
    <cellStyle name="20% - Accent3 31" xfId="364"/>
    <cellStyle name="20% - Accent3 32" xfId="365"/>
    <cellStyle name="20% - Accent3 33" xfId="366"/>
    <cellStyle name="20% - Accent3 34" xfId="367"/>
    <cellStyle name="20% - Accent3 35" xfId="368"/>
    <cellStyle name="20% - Accent3 36" xfId="369"/>
    <cellStyle name="20% - Accent3 37" xfId="370"/>
    <cellStyle name="20% - Accent3 38" xfId="371"/>
    <cellStyle name="20% - Accent3 39" xfId="372"/>
    <cellStyle name="20% - Accent3 4" xfId="373"/>
    <cellStyle name="20% - Accent3 40" xfId="374"/>
    <cellStyle name="20% - Accent3 41" xfId="375"/>
    <cellStyle name="20% - Accent3 5" xfId="376"/>
    <cellStyle name="20% - Accent3 6" xfId="377"/>
    <cellStyle name="20% - Accent3 7" xfId="378"/>
    <cellStyle name="20% - Accent3 8" xfId="379"/>
    <cellStyle name="20% - Accent3 9" xfId="380"/>
    <cellStyle name="20% - Accent4 1" xfId="381"/>
    <cellStyle name="20% - Accent4 10" xfId="382"/>
    <cellStyle name="20% - Accent4 11" xfId="383"/>
    <cellStyle name="20% - Accent4 12" xfId="384"/>
    <cellStyle name="20% - Accent4 13" xfId="385"/>
    <cellStyle name="20% - Accent4 14" xfId="386"/>
    <cellStyle name="20% - Accent4 15" xfId="387"/>
    <cellStyle name="20% - Accent4 16" xfId="388"/>
    <cellStyle name="20% - Accent4 17" xfId="389"/>
    <cellStyle name="20% - Accent4 18" xfId="390"/>
    <cellStyle name="20% - Accent4 19" xfId="391"/>
    <cellStyle name="20% - Accent4 2" xfId="392"/>
    <cellStyle name="20% - Accent4 2 2" xfId="393"/>
    <cellStyle name="20% - Accent4 2 2 2" xfId="394"/>
    <cellStyle name="20% - Accent4 2 2 2 2" xfId="395"/>
    <cellStyle name="20% - Accent4 2 2 2 3" xfId="396"/>
    <cellStyle name="20% - Accent4 2 2 3" xfId="397"/>
    <cellStyle name="20% - Accent4 2 2 4" xfId="398"/>
    <cellStyle name="20% - Accent4 20" xfId="399"/>
    <cellStyle name="20% - Accent4 21" xfId="400"/>
    <cellStyle name="20% - Accent4 22" xfId="401"/>
    <cellStyle name="20% - Accent4 23" xfId="402"/>
    <cellStyle name="20% - Accent4 24" xfId="403"/>
    <cellStyle name="20% - Accent4 25" xfId="404"/>
    <cellStyle name="20% - Accent4 26" xfId="405"/>
    <cellStyle name="20% - Accent4 27" xfId="406"/>
    <cellStyle name="20% - Accent4 28" xfId="407"/>
    <cellStyle name="20% - Accent4 29" xfId="408"/>
    <cellStyle name="20% - Accent4 3" xfId="409"/>
    <cellStyle name="20% - Accent4 30" xfId="410"/>
    <cellStyle name="20% - Accent4 31" xfId="411"/>
    <cellStyle name="20% - Accent4 32" xfId="412"/>
    <cellStyle name="20% - Accent4 33" xfId="413"/>
    <cellStyle name="20% - Accent4 34" xfId="414"/>
    <cellStyle name="20% - Accent4 35" xfId="415"/>
    <cellStyle name="20% - Accent4 36" xfId="416"/>
    <cellStyle name="20% - Accent4 37" xfId="417"/>
    <cellStyle name="20% - Accent4 38" xfId="418"/>
    <cellStyle name="20% - Accent4 39" xfId="419"/>
    <cellStyle name="20% - Accent4 4" xfId="420"/>
    <cellStyle name="20% - Accent4 40" xfId="421"/>
    <cellStyle name="20% - Accent4 41" xfId="422"/>
    <cellStyle name="20% - Accent4 5" xfId="423"/>
    <cellStyle name="20% - Accent4 6" xfId="424"/>
    <cellStyle name="20% - Accent4 7" xfId="425"/>
    <cellStyle name="20% - Accent4 8" xfId="426"/>
    <cellStyle name="20% - Accent4 9" xfId="427"/>
    <cellStyle name="20% - Accent5 1" xfId="428"/>
    <cellStyle name="20% - Accent5 10" xfId="429"/>
    <cellStyle name="20% - Accent5 11" xfId="430"/>
    <cellStyle name="20% - Accent5 12" xfId="431"/>
    <cellStyle name="20% - Accent5 13" xfId="432"/>
    <cellStyle name="20% - Accent5 14" xfId="433"/>
    <cellStyle name="20% - Accent5 15" xfId="434"/>
    <cellStyle name="20% - Accent5 16" xfId="435"/>
    <cellStyle name="20% - Accent5 17" xfId="436"/>
    <cellStyle name="20% - Accent5 18" xfId="437"/>
    <cellStyle name="20% - Accent5 19" xfId="438"/>
    <cellStyle name="20% - Accent5 2" xfId="439"/>
    <cellStyle name="20% - Accent5 2 2" xfId="440"/>
    <cellStyle name="20% - Accent5 2 2 2" xfId="441"/>
    <cellStyle name="20% - Accent5 2 2 2 2" xfId="442"/>
    <cellStyle name="20% - Accent5 2 2 2 3" xfId="443"/>
    <cellStyle name="20% - Accent5 2 2 3" xfId="444"/>
    <cellStyle name="20% - Accent5 2 2 4" xfId="445"/>
    <cellStyle name="20% - Accent5 20" xfId="446"/>
    <cellStyle name="20% - Accent5 21" xfId="447"/>
    <cellStyle name="20% - Accent5 22" xfId="448"/>
    <cellStyle name="20% - Accent5 23" xfId="449"/>
    <cellStyle name="20% - Accent5 24" xfId="450"/>
    <cellStyle name="20% - Accent5 25" xfId="451"/>
    <cellStyle name="20% - Accent5 26" xfId="452"/>
    <cellStyle name="20% - Accent5 27" xfId="453"/>
    <cellStyle name="20% - Accent5 28" xfId="454"/>
    <cellStyle name="20% - Accent5 29" xfId="455"/>
    <cellStyle name="20% - Accent5 3" xfId="456"/>
    <cellStyle name="20% - Accent5 30" xfId="457"/>
    <cellStyle name="20% - Accent5 31" xfId="458"/>
    <cellStyle name="20% - Accent5 32" xfId="459"/>
    <cellStyle name="20% - Accent5 33" xfId="460"/>
    <cellStyle name="20% - Accent5 34" xfId="461"/>
    <cellStyle name="20% - Accent5 35" xfId="462"/>
    <cellStyle name="20% - Accent5 36" xfId="463"/>
    <cellStyle name="20% - Accent5 37" xfId="464"/>
    <cellStyle name="20% - Accent5 38" xfId="465"/>
    <cellStyle name="20% - Accent5 39" xfId="466"/>
    <cellStyle name="20% - Accent5 4" xfId="467"/>
    <cellStyle name="20% - Accent5 40" xfId="468"/>
    <cellStyle name="20% - Accent5 41" xfId="469"/>
    <cellStyle name="20% - Accent5 5" xfId="470"/>
    <cellStyle name="20% - Accent5 6" xfId="471"/>
    <cellStyle name="20% - Accent5 7" xfId="472"/>
    <cellStyle name="20% - Accent5 8" xfId="473"/>
    <cellStyle name="20% - Accent5 9" xfId="474"/>
    <cellStyle name="20% - Accent6 1" xfId="475"/>
    <cellStyle name="20% - Accent6 10" xfId="476"/>
    <cellStyle name="20% - Accent6 11" xfId="477"/>
    <cellStyle name="20% - Accent6 12" xfId="478"/>
    <cellStyle name="20% - Accent6 13" xfId="479"/>
    <cellStyle name="20% - Accent6 14" xfId="480"/>
    <cellStyle name="20% - Accent6 15" xfId="481"/>
    <cellStyle name="20% - Accent6 16" xfId="482"/>
    <cellStyle name="20% - Accent6 17" xfId="483"/>
    <cellStyle name="20% - Accent6 18" xfId="484"/>
    <cellStyle name="20% - Accent6 19" xfId="485"/>
    <cellStyle name="20% - Accent6 2" xfId="486"/>
    <cellStyle name="20% - Accent6 2 2" xfId="487"/>
    <cellStyle name="20% - Accent6 2 2 2" xfId="488"/>
    <cellStyle name="20% - Accent6 2 2 2 2" xfId="489"/>
    <cellStyle name="20% - Accent6 2 2 2 3" xfId="490"/>
    <cellStyle name="20% - Accent6 2 2 3" xfId="491"/>
    <cellStyle name="20% - Accent6 2 2 4" xfId="492"/>
    <cellStyle name="20% - Accent6 20" xfId="493"/>
    <cellStyle name="20% - Accent6 21" xfId="494"/>
    <cellStyle name="20% - Accent6 22" xfId="495"/>
    <cellStyle name="20% - Accent6 23" xfId="496"/>
    <cellStyle name="20% - Accent6 24" xfId="497"/>
    <cellStyle name="20% - Accent6 25" xfId="498"/>
    <cellStyle name="20% - Accent6 26" xfId="499"/>
    <cellStyle name="20% - Accent6 27" xfId="500"/>
    <cellStyle name="20% - Accent6 28" xfId="501"/>
    <cellStyle name="20% - Accent6 29" xfId="502"/>
    <cellStyle name="20% - Accent6 3" xfId="503"/>
    <cellStyle name="20% - Accent6 30" xfId="504"/>
    <cellStyle name="20% - Accent6 31" xfId="505"/>
    <cellStyle name="20% - Accent6 32" xfId="506"/>
    <cellStyle name="20% - Accent6 33" xfId="507"/>
    <cellStyle name="20% - Accent6 34" xfId="508"/>
    <cellStyle name="20% - Accent6 35" xfId="509"/>
    <cellStyle name="20% - Accent6 36" xfId="510"/>
    <cellStyle name="20% - Accent6 37" xfId="511"/>
    <cellStyle name="20% - Accent6 38" xfId="512"/>
    <cellStyle name="20% - Accent6 39" xfId="513"/>
    <cellStyle name="20% - Accent6 4" xfId="514"/>
    <cellStyle name="20% - Accent6 40" xfId="515"/>
    <cellStyle name="20% - Accent6 41" xfId="516"/>
    <cellStyle name="20% - Accent6 5" xfId="517"/>
    <cellStyle name="20% - Accent6 6" xfId="518"/>
    <cellStyle name="20% - Accent6 7" xfId="519"/>
    <cellStyle name="20% - Accent6 8" xfId="520"/>
    <cellStyle name="20% - Accent6 9" xfId="521"/>
    <cellStyle name="40% - Accent1 1" xfId="522"/>
    <cellStyle name="40% - Accent1 10" xfId="523"/>
    <cellStyle name="40% - Accent1 11" xfId="524"/>
    <cellStyle name="40% - Accent1 12" xfId="525"/>
    <cellStyle name="40% - Accent1 13" xfId="526"/>
    <cellStyle name="40% - Accent1 14" xfId="527"/>
    <cellStyle name="40% - Accent1 15" xfId="528"/>
    <cellStyle name="40% - Accent1 16" xfId="529"/>
    <cellStyle name="40% - Accent1 17" xfId="530"/>
    <cellStyle name="40% - Accent1 18" xfId="531"/>
    <cellStyle name="40% - Accent1 19" xfId="532"/>
    <cellStyle name="40% - Accent1 2" xfId="533"/>
    <cellStyle name="40% - Accent1 2 2" xfId="534"/>
    <cellStyle name="40% - Accent1 2 2 2" xfId="535"/>
    <cellStyle name="40% - Accent1 2 2 2 2" xfId="536"/>
    <cellStyle name="40% - Accent1 2 2 2 3" xfId="537"/>
    <cellStyle name="40% - Accent1 2 2 3" xfId="538"/>
    <cellStyle name="40% - Accent1 2 2 4" xfId="539"/>
    <cellStyle name="40% - Accent1 20" xfId="540"/>
    <cellStyle name="40% - Accent1 21" xfId="541"/>
    <cellStyle name="40% - Accent1 22" xfId="542"/>
    <cellStyle name="40% - Accent1 23" xfId="543"/>
    <cellStyle name="40% - Accent1 24" xfId="544"/>
    <cellStyle name="40% - Accent1 25" xfId="545"/>
    <cellStyle name="40% - Accent1 26" xfId="546"/>
    <cellStyle name="40% - Accent1 27" xfId="547"/>
    <cellStyle name="40% - Accent1 28" xfId="548"/>
    <cellStyle name="40% - Accent1 29" xfId="549"/>
    <cellStyle name="40% - Accent1 3" xfId="550"/>
    <cellStyle name="40% - Accent1 30" xfId="551"/>
    <cellStyle name="40% - Accent1 31" xfId="552"/>
    <cellStyle name="40% - Accent1 32" xfId="553"/>
    <cellStyle name="40% - Accent1 33" xfId="554"/>
    <cellStyle name="40% - Accent1 34" xfId="555"/>
    <cellStyle name="40% - Accent1 35" xfId="556"/>
    <cellStyle name="40% - Accent1 36" xfId="557"/>
    <cellStyle name="40% - Accent1 37" xfId="558"/>
    <cellStyle name="40% - Accent1 38" xfId="559"/>
    <cellStyle name="40% - Accent1 39" xfId="560"/>
    <cellStyle name="40% - Accent1 4" xfId="561"/>
    <cellStyle name="40% - Accent1 40" xfId="562"/>
    <cellStyle name="40% - Accent1 41" xfId="563"/>
    <cellStyle name="40% - Accent1 5" xfId="564"/>
    <cellStyle name="40% - Accent1 6" xfId="565"/>
    <cellStyle name="40% - Accent1 7" xfId="566"/>
    <cellStyle name="40% - Accent1 8" xfId="567"/>
    <cellStyle name="40% - Accent1 9" xfId="568"/>
    <cellStyle name="40% - Accent2 1" xfId="569"/>
    <cellStyle name="40% - Accent2 10" xfId="570"/>
    <cellStyle name="40% - Accent2 11" xfId="571"/>
    <cellStyle name="40% - Accent2 12" xfId="572"/>
    <cellStyle name="40% - Accent2 13" xfId="573"/>
    <cellStyle name="40% - Accent2 14" xfId="574"/>
    <cellStyle name="40% - Accent2 15" xfId="575"/>
    <cellStyle name="40% - Accent2 16" xfId="576"/>
    <cellStyle name="40% - Accent2 17" xfId="577"/>
    <cellStyle name="40% - Accent2 18" xfId="578"/>
    <cellStyle name="40% - Accent2 19" xfId="579"/>
    <cellStyle name="40% - Accent2 2" xfId="580"/>
    <cellStyle name="40% - Accent2 2 2" xfId="581"/>
    <cellStyle name="40% - Accent2 2 2 2" xfId="582"/>
    <cellStyle name="40% - Accent2 2 2 2 2" xfId="583"/>
    <cellStyle name="40% - Accent2 2 2 2 3" xfId="584"/>
    <cellStyle name="40% - Accent2 2 2 3" xfId="585"/>
    <cellStyle name="40% - Accent2 2 2 4" xfId="586"/>
    <cellStyle name="40% - Accent2 20" xfId="587"/>
    <cellStyle name="40% - Accent2 21" xfId="588"/>
    <cellStyle name="40% - Accent2 22" xfId="589"/>
    <cellStyle name="40% - Accent2 23" xfId="590"/>
    <cellStyle name="40% - Accent2 24" xfId="591"/>
    <cellStyle name="40% - Accent2 25" xfId="592"/>
    <cellStyle name="40% - Accent2 26" xfId="593"/>
    <cellStyle name="40% - Accent2 27" xfId="594"/>
    <cellStyle name="40% - Accent2 28" xfId="595"/>
    <cellStyle name="40% - Accent2 29" xfId="596"/>
    <cellStyle name="40% - Accent2 3" xfId="597"/>
    <cellStyle name="40% - Accent2 30" xfId="598"/>
    <cellStyle name="40% - Accent2 31" xfId="599"/>
    <cellStyle name="40% - Accent2 32" xfId="600"/>
    <cellStyle name="40% - Accent2 33" xfId="601"/>
    <cellStyle name="40% - Accent2 34" xfId="602"/>
    <cellStyle name="40% - Accent2 35" xfId="603"/>
    <cellStyle name="40% - Accent2 36" xfId="604"/>
    <cellStyle name="40% - Accent2 37" xfId="605"/>
    <cellStyle name="40% - Accent2 38" xfId="606"/>
    <cellStyle name="40% - Accent2 39" xfId="607"/>
    <cellStyle name="40% - Accent2 4" xfId="608"/>
    <cellStyle name="40% - Accent2 40" xfId="609"/>
    <cellStyle name="40% - Accent2 41" xfId="610"/>
    <cellStyle name="40% - Accent2 5" xfId="611"/>
    <cellStyle name="40% - Accent2 6" xfId="612"/>
    <cellStyle name="40% - Accent2 7" xfId="613"/>
    <cellStyle name="40% - Accent2 8" xfId="614"/>
    <cellStyle name="40% - Accent2 9" xfId="615"/>
    <cellStyle name="40% - Accent3 1" xfId="616"/>
    <cellStyle name="40% - Accent3 10" xfId="617"/>
    <cellStyle name="40% - Accent3 11" xfId="618"/>
    <cellStyle name="40% - Accent3 12" xfId="619"/>
    <cellStyle name="40% - Accent3 13" xfId="620"/>
    <cellStyle name="40% - Accent3 14" xfId="621"/>
    <cellStyle name="40% - Accent3 15" xfId="622"/>
    <cellStyle name="40% - Accent3 16" xfId="623"/>
    <cellStyle name="40% - Accent3 17" xfId="624"/>
    <cellStyle name="40% - Accent3 18" xfId="625"/>
    <cellStyle name="40% - Accent3 19" xfId="626"/>
    <cellStyle name="40% - Accent3 2" xfId="627"/>
    <cellStyle name="40% - Accent3 2 2" xfId="628"/>
    <cellStyle name="40% - Accent3 2 2 2" xfId="629"/>
    <cellStyle name="40% - Accent3 2 2 2 2" xfId="630"/>
    <cellStyle name="40% - Accent3 2 2 2 3" xfId="631"/>
    <cellStyle name="40% - Accent3 2 2 3" xfId="632"/>
    <cellStyle name="40% - Accent3 2 2 4" xfId="633"/>
    <cellStyle name="40% - Accent3 20" xfId="634"/>
    <cellStyle name="40% - Accent3 21" xfId="635"/>
    <cellStyle name="40% - Accent3 22" xfId="636"/>
    <cellStyle name="40% - Accent3 23" xfId="637"/>
    <cellStyle name="40% - Accent3 24" xfId="638"/>
    <cellStyle name="40% - Accent3 25" xfId="639"/>
    <cellStyle name="40% - Accent3 26" xfId="640"/>
    <cellStyle name="40% - Accent3 27" xfId="641"/>
    <cellStyle name="40% - Accent3 28" xfId="642"/>
    <cellStyle name="40% - Accent3 29" xfId="643"/>
    <cellStyle name="40% - Accent3 3" xfId="644"/>
    <cellStyle name="40% - Accent3 30" xfId="645"/>
    <cellStyle name="40% - Accent3 31" xfId="646"/>
    <cellStyle name="40% - Accent3 32" xfId="647"/>
    <cellStyle name="40% - Accent3 33" xfId="648"/>
    <cellStyle name="40% - Accent3 34" xfId="649"/>
    <cellStyle name="40% - Accent3 35" xfId="650"/>
    <cellStyle name="40% - Accent3 36" xfId="651"/>
    <cellStyle name="40% - Accent3 37" xfId="652"/>
    <cellStyle name="40% - Accent3 38" xfId="653"/>
    <cellStyle name="40% - Accent3 39" xfId="654"/>
    <cellStyle name="40% - Accent3 4" xfId="655"/>
    <cellStyle name="40% - Accent3 40" xfId="656"/>
    <cellStyle name="40% - Accent3 41" xfId="657"/>
    <cellStyle name="40% - Accent3 5" xfId="658"/>
    <cellStyle name="40% - Accent3 6" xfId="659"/>
    <cellStyle name="40% - Accent3 7" xfId="660"/>
    <cellStyle name="40% - Accent3 8" xfId="661"/>
    <cellStyle name="40% - Accent3 9" xfId="662"/>
    <cellStyle name="40% - Accent4 1" xfId="663"/>
    <cellStyle name="40% - Accent4 10" xfId="664"/>
    <cellStyle name="40% - Accent4 11" xfId="665"/>
    <cellStyle name="40% - Accent4 12" xfId="666"/>
    <cellStyle name="40% - Accent4 13" xfId="667"/>
    <cellStyle name="40% - Accent4 14" xfId="668"/>
    <cellStyle name="40% - Accent4 15" xfId="669"/>
    <cellStyle name="40% - Accent4 16" xfId="670"/>
    <cellStyle name="40% - Accent4 17" xfId="671"/>
    <cellStyle name="40% - Accent4 18" xfId="672"/>
    <cellStyle name="40% - Accent4 19" xfId="673"/>
    <cellStyle name="40% - Accent4 2" xfId="674"/>
    <cellStyle name="40% - Accent4 2 2" xfId="675"/>
    <cellStyle name="40% - Accent4 2 2 2" xfId="676"/>
    <cellStyle name="40% - Accent4 2 2 2 2" xfId="677"/>
    <cellStyle name="40% - Accent4 2 2 2 3" xfId="678"/>
    <cellStyle name="40% - Accent4 2 2 3" xfId="679"/>
    <cellStyle name="40% - Accent4 2 2 4" xfId="680"/>
    <cellStyle name="40% - Accent4 20" xfId="681"/>
    <cellStyle name="40% - Accent4 21" xfId="682"/>
    <cellStyle name="40% - Accent4 22" xfId="683"/>
    <cellStyle name="40% - Accent4 23" xfId="684"/>
    <cellStyle name="40% - Accent4 24" xfId="685"/>
    <cellStyle name="40% - Accent4 25" xfId="686"/>
    <cellStyle name="40% - Accent4 26" xfId="687"/>
    <cellStyle name="40% - Accent4 27" xfId="688"/>
    <cellStyle name="40% - Accent4 28" xfId="689"/>
    <cellStyle name="40% - Accent4 29" xfId="690"/>
    <cellStyle name="40% - Accent4 3" xfId="691"/>
    <cellStyle name="40% - Accent4 30" xfId="692"/>
    <cellStyle name="40% - Accent4 31" xfId="693"/>
    <cellStyle name="40% - Accent4 32" xfId="694"/>
    <cellStyle name="40% - Accent4 33" xfId="695"/>
    <cellStyle name="40% - Accent4 34" xfId="696"/>
    <cellStyle name="40% - Accent4 35" xfId="697"/>
    <cellStyle name="40% - Accent4 36" xfId="698"/>
    <cellStyle name="40% - Accent4 37" xfId="699"/>
    <cellStyle name="40% - Accent4 38" xfId="700"/>
    <cellStyle name="40% - Accent4 39" xfId="701"/>
    <cellStyle name="40% - Accent4 4" xfId="702"/>
    <cellStyle name="40% - Accent4 40" xfId="703"/>
    <cellStyle name="40% - Accent4 41" xfId="704"/>
    <cellStyle name="40% - Accent4 5" xfId="705"/>
    <cellStyle name="40% - Accent4 6" xfId="706"/>
    <cellStyle name="40% - Accent4 7" xfId="707"/>
    <cellStyle name="40% - Accent4 8" xfId="708"/>
    <cellStyle name="40% - Accent4 9" xfId="709"/>
    <cellStyle name="40% - Accent5 1" xfId="710"/>
    <cellStyle name="40% - Accent5 10" xfId="711"/>
    <cellStyle name="40% - Accent5 11" xfId="712"/>
    <cellStyle name="40% - Accent5 12" xfId="713"/>
    <cellStyle name="40% - Accent5 13" xfId="714"/>
    <cellStyle name="40% - Accent5 14" xfId="715"/>
    <cellStyle name="40% - Accent5 15" xfId="716"/>
    <cellStyle name="40% - Accent5 16" xfId="717"/>
    <cellStyle name="40% - Accent5 17" xfId="718"/>
    <cellStyle name="40% - Accent5 18" xfId="719"/>
    <cellStyle name="40% - Accent5 19" xfId="720"/>
    <cellStyle name="40% - Accent5 2" xfId="721"/>
    <cellStyle name="40% - Accent5 2 2" xfId="722"/>
    <cellStyle name="40% - Accent5 2 2 2" xfId="723"/>
    <cellStyle name="40% - Accent5 2 2 2 2" xfId="724"/>
    <cellStyle name="40% - Accent5 2 2 2 3" xfId="725"/>
    <cellStyle name="40% - Accent5 2 2 3" xfId="726"/>
    <cellStyle name="40% - Accent5 2 2 4" xfId="727"/>
    <cellStyle name="40% - Accent5 20" xfId="728"/>
    <cellStyle name="40% - Accent5 21" xfId="729"/>
    <cellStyle name="40% - Accent5 22" xfId="730"/>
    <cellStyle name="40% - Accent5 23" xfId="731"/>
    <cellStyle name="40% - Accent5 24" xfId="732"/>
    <cellStyle name="40% - Accent5 25" xfId="733"/>
    <cellStyle name="40% - Accent5 26" xfId="734"/>
    <cellStyle name="40% - Accent5 27" xfId="735"/>
    <cellStyle name="40% - Accent5 28" xfId="736"/>
    <cellStyle name="40% - Accent5 29" xfId="737"/>
    <cellStyle name="40% - Accent5 3" xfId="738"/>
    <cellStyle name="40% - Accent5 30" xfId="739"/>
    <cellStyle name="40% - Accent5 31" xfId="740"/>
    <cellStyle name="40% - Accent5 32" xfId="741"/>
    <cellStyle name="40% - Accent5 33" xfId="742"/>
    <cellStyle name="40% - Accent5 34" xfId="743"/>
    <cellStyle name="40% - Accent5 35" xfId="744"/>
    <cellStyle name="40% - Accent5 36" xfId="745"/>
    <cellStyle name="40% - Accent5 37" xfId="746"/>
    <cellStyle name="40% - Accent5 38" xfId="747"/>
    <cellStyle name="40% - Accent5 39" xfId="748"/>
    <cellStyle name="40% - Accent5 4" xfId="749"/>
    <cellStyle name="40% - Accent5 40" xfId="750"/>
    <cellStyle name="40% - Accent5 41" xfId="751"/>
    <cellStyle name="40% - Accent5 5" xfId="752"/>
    <cellStyle name="40% - Accent5 6" xfId="753"/>
    <cellStyle name="40% - Accent5 7" xfId="754"/>
    <cellStyle name="40% - Accent5 8" xfId="755"/>
    <cellStyle name="40% - Accent5 9" xfId="756"/>
    <cellStyle name="40% - Accent6 1" xfId="757"/>
    <cellStyle name="40% - Accent6 10" xfId="758"/>
    <cellStyle name="40% - Accent6 11" xfId="759"/>
    <cellStyle name="40% - Accent6 12" xfId="760"/>
    <cellStyle name="40% - Accent6 13" xfId="761"/>
    <cellStyle name="40% - Accent6 14" xfId="762"/>
    <cellStyle name="40% - Accent6 15" xfId="763"/>
    <cellStyle name="40% - Accent6 16" xfId="764"/>
    <cellStyle name="40% - Accent6 17" xfId="765"/>
    <cellStyle name="40% - Accent6 18" xfId="766"/>
    <cellStyle name="40% - Accent6 19" xfId="767"/>
    <cellStyle name="40% - Accent6 2" xfId="768"/>
    <cellStyle name="40% - Accent6 2 2" xfId="769"/>
    <cellStyle name="40% - Accent6 2 2 2" xfId="770"/>
    <cellStyle name="40% - Accent6 2 2 2 2" xfId="771"/>
    <cellStyle name="40% - Accent6 2 2 2 3" xfId="772"/>
    <cellStyle name="40% - Accent6 2 2 3" xfId="773"/>
    <cellStyle name="40% - Accent6 2 2 4" xfId="774"/>
    <cellStyle name="40% - Accent6 20" xfId="775"/>
    <cellStyle name="40% - Accent6 21" xfId="776"/>
    <cellStyle name="40% - Accent6 22" xfId="777"/>
    <cellStyle name="40% - Accent6 23" xfId="778"/>
    <cellStyle name="40% - Accent6 24" xfId="779"/>
    <cellStyle name="40% - Accent6 25" xfId="780"/>
    <cellStyle name="40% - Accent6 26" xfId="781"/>
    <cellStyle name="40% - Accent6 27" xfId="782"/>
    <cellStyle name="40% - Accent6 28" xfId="783"/>
    <cellStyle name="40% - Accent6 29" xfId="784"/>
    <cellStyle name="40% - Accent6 3" xfId="785"/>
    <cellStyle name="40% - Accent6 30" xfId="786"/>
    <cellStyle name="40% - Accent6 31" xfId="787"/>
    <cellStyle name="40% - Accent6 32" xfId="788"/>
    <cellStyle name="40% - Accent6 33" xfId="789"/>
    <cellStyle name="40% - Accent6 34" xfId="790"/>
    <cellStyle name="40% - Accent6 35" xfId="791"/>
    <cellStyle name="40% - Accent6 36" xfId="792"/>
    <cellStyle name="40% - Accent6 37" xfId="793"/>
    <cellStyle name="40% - Accent6 38" xfId="794"/>
    <cellStyle name="40% - Accent6 39" xfId="795"/>
    <cellStyle name="40% - Accent6 4" xfId="796"/>
    <cellStyle name="40% - Accent6 40" xfId="797"/>
    <cellStyle name="40% - Accent6 41" xfId="798"/>
    <cellStyle name="40% - Accent6 5" xfId="799"/>
    <cellStyle name="40% - Accent6 6" xfId="800"/>
    <cellStyle name="40% - Accent6 7" xfId="801"/>
    <cellStyle name="40% - Accent6 8" xfId="802"/>
    <cellStyle name="40% - Accent6 9" xfId="803"/>
    <cellStyle name="60% - Accent1 1" xfId="804"/>
    <cellStyle name="60% - Accent1 10" xfId="805"/>
    <cellStyle name="60% - Accent1 11" xfId="806"/>
    <cellStyle name="60% - Accent1 12" xfId="807"/>
    <cellStyle name="60% - Accent1 13" xfId="808"/>
    <cellStyle name="60% - Accent1 14" xfId="809"/>
    <cellStyle name="60% - Accent1 15" xfId="810"/>
    <cellStyle name="60% - Accent1 16" xfId="811"/>
    <cellStyle name="60% - Accent1 17" xfId="812"/>
    <cellStyle name="60% - Accent1 18" xfId="813"/>
    <cellStyle name="60% - Accent1 19" xfId="814"/>
    <cellStyle name="60% - Accent1 2" xfId="815"/>
    <cellStyle name="60% - Accent1 2 2" xfId="816"/>
    <cellStyle name="60% - Accent1 20" xfId="817"/>
    <cellStyle name="60% - Accent1 21" xfId="818"/>
    <cellStyle name="60% - Accent1 22" xfId="819"/>
    <cellStyle name="60% - Accent1 23" xfId="820"/>
    <cellStyle name="60% - Accent1 24" xfId="821"/>
    <cellStyle name="60% - Accent1 25" xfId="822"/>
    <cellStyle name="60% - Accent1 26" xfId="823"/>
    <cellStyle name="60% - Accent1 27" xfId="824"/>
    <cellStyle name="60% - Accent1 28" xfId="825"/>
    <cellStyle name="60% - Accent1 29" xfId="826"/>
    <cellStyle name="60% - Accent1 3" xfId="827"/>
    <cellStyle name="60% - Accent1 30" xfId="828"/>
    <cellStyle name="60% - Accent1 31" xfId="829"/>
    <cellStyle name="60% - Accent1 32" xfId="830"/>
    <cellStyle name="60% - Accent1 33" xfId="831"/>
    <cellStyle name="60% - Accent1 34" xfId="832"/>
    <cellStyle name="60% - Accent1 35" xfId="833"/>
    <cellStyle name="60% - Accent1 36" xfId="834"/>
    <cellStyle name="60% - Accent1 37" xfId="835"/>
    <cellStyle name="60% - Accent1 38" xfId="836"/>
    <cellStyle name="60% - Accent1 39" xfId="837"/>
    <cellStyle name="60% - Accent1 4" xfId="838"/>
    <cellStyle name="60% - Accent1 40" xfId="839"/>
    <cellStyle name="60% - Accent1 41" xfId="840"/>
    <cellStyle name="60% - Accent1 5" xfId="841"/>
    <cellStyle name="60% - Accent1 6" xfId="842"/>
    <cellStyle name="60% - Accent1 7" xfId="843"/>
    <cellStyle name="60% - Accent1 8" xfId="844"/>
    <cellStyle name="60% - Accent1 9" xfId="845"/>
    <cellStyle name="60% - Accent2 1" xfId="846"/>
    <cellStyle name="60% - Accent2 10" xfId="847"/>
    <cellStyle name="60% - Accent2 11" xfId="848"/>
    <cellStyle name="60% - Accent2 12" xfId="849"/>
    <cellStyle name="60% - Accent2 13" xfId="850"/>
    <cellStyle name="60% - Accent2 14" xfId="851"/>
    <cellStyle name="60% - Accent2 15" xfId="852"/>
    <cellStyle name="60% - Accent2 16" xfId="853"/>
    <cellStyle name="60% - Accent2 17" xfId="854"/>
    <cellStyle name="60% - Accent2 18" xfId="855"/>
    <cellStyle name="60% - Accent2 19" xfId="856"/>
    <cellStyle name="60% - Accent2 2" xfId="857"/>
    <cellStyle name="60% - Accent2 2 2" xfId="858"/>
    <cellStyle name="60% - Accent2 20" xfId="859"/>
    <cellStyle name="60% - Accent2 21" xfId="860"/>
    <cellStyle name="60% - Accent2 22" xfId="861"/>
    <cellStyle name="60% - Accent2 23" xfId="862"/>
    <cellStyle name="60% - Accent2 24" xfId="863"/>
    <cellStyle name="60% - Accent2 25" xfId="864"/>
    <cellStyle name="60% - Accent2 26" xfId="865"/>
    <cellStyle name="60% - Accent2 27" xfId="866"/>
    <cellStyle name="60% - Accent2 28" xfId="867"/>
    <cellStyle name="60% - Accent2 29" xfId="868"/>
    <cellStyle name="60% - Accent2 3" xfId="869"/>
    <cellStyle name="60% - Accent2 30" xfId="870"/>
    <cellStyle name="60% - Accent2 31" xfId="871"/>
    <cellStyle name="60% - Accent2 32" xfId="872"/>
    <cellStyle name="60% - Accent2 33" xfId="873"/>
    <cellStyle name="60% - Accent2 34" xfId="874"/>
    <cellStyle name="60% - Accent2 35" xfId="875"/>
    <cellStyle name="60% - Accent2 36" xfId="876"/>
    <cellStyle name="60% - Accent2 37" xfId="877"/>
    <cellStyle name="60% - Accent2 38" xfId="878"/>
    <cellStyle name="60% - Accent2 39" xfId="879"/>
    <cellStyle name="60% - Accent2 4" xfId="880"/>
    <cellStyle name="60% - Accent2 40" xfId="881"/>
    <cellStyle name="60% - Accent2 41" xfId="882"/>
    <cellStyle name="60% - Accent2 5" xfId="883"/>
    <cellStyle name="60% - Accent2 6" xfId="884"/>
    <cellStyle name="60% - Accent2 7" xfId="885"/>
    <cellStyle name="60% - Accent2 8" xfId="886"/>
    <cellStyle name="60% - Accent2 9" xfId="887"/>
    <cellStyle name="60% - Accent3 1" xfId="888"/>
    <cellStyle name="60% - Accent3 10" xfId="889"/>
    <cellStyle name="60% - Accent3 11" xfId="890"/>
    <cellStyle name="60% - Accent3 12" xfId="891"/>
    <cellStyle name="60% - Accent3 13" xfId="892"/>
    <cellStyle name="60% - Accent3 14" xfId="893"/>
    <cellStyle name="60% - Accent3 15" xfId="894"/>
    <cellStyle name="60% - Accent3 16" xfId="895"/>
    <cellStyle name="60% - Accent3 17" xfId="896"/>
    <cellStyle name="60% - Accent3 18" xfId="897"/>
    <cellStyle name="60% - Accent3 19" xfId="898"/>
    <cellStyle name="60% - Accent3 2" xfId="899"/>
    <cellStyle name="60% - Accent3 2 2" xfId="900"/>
    <cellStyle name="60% - Accent3 20" xfId="901"/>
    <cellStyle name="60% - Accent3 21" xfId="902"/>
    <cellStyle name="60% - Accent3 22" xfId="903"/>
    <cellStyle name="60% - Accent3 23" xfId="904"/>
    <cellStyle name="60% - Accent3 24" xfId="905"/>
    <cellStyle name="60% - Accent3 25" xfId="906"/>
    <cellStyle name="60% - Accent3 26" xfId="907"/>
    <cellStyle name="60% - Accent3 27" xfId="908"/>
    <cellStyle name="60% - Accent3 28" xfId="909"/>
    <cellStyle name="60% - Accent3 29" xfId="910"/>
    <cellStyle name="60% - Accent3 3" xfId="911"/>
    <cellStyle name="60% - Accent3 30" xfId="912"/>
    <cellStyle name="60% - Accent3 31" xfId="913"/>
    <cellStyle name="60% - Accent3 32" xfId="914"/>
    <cellStyle name="60% - Accent3 33" xfId="915"/>
    <cellStyle name="60% - Accent3 34" xfId="916"/>
    <cellStyle name="60% - Accent3 35" xfId="917"/>
    <cellStyle name="60% - Accent3 36" xfId="918"/>
    <cellStyle name="60% - Accent3 37" xfId="919"/>
    <cellStyle name="60% - Accent3 38" xfId="920"/>
    <cellStyle name="60% - Accent3 39" xfId="921"/>
    <cellStyle name="60% - Accent3 4" xfId="922"/>
    <cellStyle name="60% - Accent3 40" xfId="923"/>
    <cellStyle name="60% - Accent3 41" xfId="924"/>
    <cellStyle name="60% - Accent3 5" xfId="925"/>
    <cellStyle name="60% - Accent3 6" xfId="926"/>
    <cellStyle name="60% - Accent3 7" xfId="927"/>
    <cellStyle name="60% - Accent3 8" xfId="928"/>
    <cellStyle name="60% - Accent3 9" xfId="929"/>
    <cellStyle name="60% - Accent4 1" xfId="930"/>
    <cellStyle name="60% - Accent4 10" xfId="931"/>
    <cellStyle name="60% - Accent4 11" xfId="932"/>
    <cellStyle name="60% - Accent4 12" xfId="933"/>
    <cellStyle name="60% - Accent4 13" xfId="934"/>
    <cellStyle name="60% - Accent4 14" xfId="935"/>
    <cellStyle name="60% - Accent4 15" xfId="936"/>
    <cellStyle name="60% - Accent4 16" xfId="937"/>
    <cellStyle name="60% - Accent4 17" xfId="938"/>
    <cellStyle name="60% - Accent4 18" xfId="939"/>
    <cellStyle name="60% - Accent4 19" xfId="940"/>
    <cellStyle name="60% - Accent4 2" xfId="941"/>
    <cellStyle name="60% - Accent4 2 2" xfId="942"/>
    <cellStyle name="60% - Accent4 20" xfId="943"/>
    <cellStyle name="60% - Accent4 21" xfId="944"/>
    <cellStyle name="60% - Accent4 22" xfId="945"/>
    <cellStyle name="60% - Accent4 23" xfId="946"/>
    <cellStyle name="60% - Accent4 24" xfId="947"/>
    <cellStyle name="60% - Accent4 25" xfId="948"/>
    <cellStyle name="60% - Accent4 26" xfId="949"/>
    <cellStyle name="60% - Accent4 27" xfId="950"/>
    <cellStyle name="60% - Accent4 28" xfId="951"/>
    <cellStyle name="60% - Accent4 29" xfId="952"/>
    <cellStyle name="60% - Accent4 3" xfId="953"/>
    <cellStyle name="60% - Accent4 30" xfId="954"/>
    <cellStyle name="60% - Accent4 31" xfId="955"/>
    <cellStyle name="60% - Accent4 32" xfId="956"/>
    <cellStyle name="60% - Accent4 33" xfId="957"/>
    <cellStyle name="60% - Accent4 34" xfId="958"/>
    <cellStyle name="60% - Accent4 35" xfId="959"/>
    <cellStyle name="60% - Accent4 36" xfId="960"/>
    <cellStyle name="60% - Accent4 37" xfId="961"/>
    <cellStyle name="60% - Accent4 38" xfId="962"/>
    <cellStyle name="60% - Accent4 39" xfId="963"/>
    <cellStyle name="60% - Accent4 4" xfId="964"/>
    <cellStyle name="60% - Accent4 40" xfId="965"/>
    <cellStyle name="60% - Accent4 41" xfId="966"/>
    <cellStyle name="60% - Accent4 5" xfId="967"/>
    <cellStyle name="60% - Accent4 6" xfId="968"/>
    <cellStyle name="60% - Accent4 7" xfId="969"/>
    <cellStyle name="60% - Accent4 8" xfId="970"/>
    <cellStyle name="60% - Accent4 9" xfId="971"/>
    <cellStyle name="60% - Accent5 1" xfId="972"/>
    <cellStyle name="60% - Accent5 10" xfId="973"/>
    <cellStyle name="60% - Accent5 11" xfId="974"/>
    <cellStyle name="60% - Accent5 12" xfId="975"/>
    <cellStyle name="60% - Accent5 13" xfId="976"/>
    <cellStyle name="60% - Accent5 14" xfId="977"/>
    <cellStyle name="60% - Accent5 15" xfId="978"/>
    <cellStyle name="60% - Accent5 16" xfId="979"/>
    <cellStyle name="60% - Accent5 17" xfId="980"/>
    <cellStyle name="60% - Accent5 18" xfId="981"/>
    <cellStyle name="60% - Accent5 19" xfId="982"/>
    <cellStyle name="60% - Accent5 2" xfId="983"/>
    <cellStyle name="60% - Accent5 2 2" xfId="984"/>
    <cellStyle name="60% - Accent5 20" xfId="985"/>
    <cellStyle name="60% - Accent5 21" xfId="986"/>
    <cellStyle name="60% - Accent5 22" xfId="987"/>
    <cellStyle name="60% - Accent5 23" xfId="988"/>
    <cellStyle name="60% - Accent5 24" xfId="989"/>
    <cellStyle name="60% - Accent5 25" xfId="990"/>
    <cellStyle name="60% - Accent5 26" xfId="991"/>
    <cellStyle name="60% - Accent5 27" xfId="992"/>
    <cellStyle name="60% - Accent5 28" xfId="993"/>
    <cellStyle name="60% - Accent5 29" xfId="994"/>
    <cellStyle name="60% - Accent5 3" xfId="995"/>
    <cellStyle name="60% - Accent5 30" xfId="996"/>
    <cellStyle name="60% - Accent5 31" xfId="997"/>
    <cellStyle name="60% - Accent5 32" xfId="998"/>
    <cellStyle name="60% - Accent5 33" xfId="999"/>
    <cellStyle name="60% - Accent5 34" xfId="1000"/>
    <cellStyle name="60% - Accent5 35" xfId="1001"/>
    <cellStyle name="60% - Accent5 36" xfId="1002"/>
    <cellStyle name="60% - Accent5 37" xfId="1003"/>
    <cellStyle name="60% - Accent5 38" xfId="1004"/>
    <cellStyle name="60% - Accent5 39" xfId="1005"/>
    <cellStyle name="60% - Accent5 4" xfId="1006"/>
    <cellStyle name="60% - Accent5 40" xfId="1007"/>
    <cellStyle name="60% - Accent5 41" xfId="1008"/>
    <cellStyle name="60% - Accent5 5" xfId="1009"/>
    <cellStyle name="60% - Accent5 6" xfId="1010"/>
    <cellStyle name="60% - Accent5 7" xfId="1011"/>
    <cellStyle name="60% - Accent5 8" xfId="1012"/>
    <cellStyle name="60% - Accent5 9" xfId="1013"/>
    <cellStyle name="60% - Accent6 1" xfId="1014"/>
    <cellStyle name="60% - Accent6 10" xfId="1015"/>
    <cellStyle name="60% - Accent6 11" xfId="1016"/>
    <cellStyle name="60% - Accent6 12" xfId="1017"/>
    <cellStyle name="60% - Accent6 13" xfId="1018"/>
    <cellStyle name="60% - Accent6 14" xfId="1019"/>
    <cellStyle name="60% - Accent6 15" xfId="1020"/>
    <cellStyle name="60% - Accent6 16" xfId="1021"/>
    <cellStyle name="60% - Accent6 17" xfId="1022"/>
    <cellStyle name="60% - Accent6 18" xfId="1023"/>
    <cellStyle name="60% - Accent6 19" xfId="1024"/>
    <cellStyle name="60% - Accent6 2" xfId="1025"/>
    <cellStyle name="60% - Accent6 2 2" xfId="1026"/>
    <cellStyle name="60% - Accent6 20" xfId="1027"/>
    <cellStyle name="60% - Accent6 21" xfId="1028"/>
    <cellStyle name="60% - Accent6 22" xfId="1029"/>
    <cellStyle name="60% - Accent6 23" xfId="1030"/>
    <cellStyle name="60% - Accent6 24" xfId="1031"/>
    <cellStyle name="60% - Accent6 25" xfId="1032"/>
    <cellStyle name="60% - Accent6 26" xfId="1033"/>
    <cellStyle name="60% - Accent6 27" xfId="1034"/>
    <cellStyle name="60% - Accent6 28" xfId="1035"/>
    <cellStyle name="60% - Accent6 29" xfId="1036"/>
    <cellStyle name="60% - Accent6 3" xfId="1037"/>
    <cellStyle name="60% - Accent6 30" xfId="1038"/>
    <cellStyle name="60% - Accent6 31" xfId="1039"/>
    <cellStyle name="60% - Accent6 32" xfId="1040"/>
    <cellStyle name="60% - Accent6 33" xfId="1041"/>
    <cellStyle name="60% - Accent6 34" xfId="1042"/>
    <cellStyle name="60% - Accent6 35" xfId="1043"/>
    <cellStyle name="60% - Accent6 36" xfId="1044"/>
    <cellStyle name="60% - Accent6 37" xfId="1045"/>
    <cellStyle name="60% - Accent6 38" xfId="1046"/>
    <cellStyle name="60% - Accent6 39" xfId="1047"/>
    <cellStyle name="60% - Accent6 4" xfId="1048"/>
    <cellStyle name="60% - Accent6 40" xfId="1049"/>
    <cellStyle name="60% - Accent6 41" xfId="1050"/>
    <cellStyle name="60% - Accent6 5" xfId="1051"/>
    <cellStyle name="60% - Accent6 6" xfId="1052"/>
    <cellStyle name="60% - Accent6 7" xfId="1053"/>
    <cellStyle name="60% - Accent6 8" xfId="1054"/>
    <cellStyle name="60% - Accent6 9" xfId="1055"/>
    <cellStyle name="60% - Énfasis4" xfId="4" builtinId="44"/>
    <cellStyle name="Accent1 1" xfId="1056"/>
    <cellStyle name="Accent1 10" xfId="1057"/>
    <cellStyle name="Accent1 11" xfId="1058"/>
    <cellStyle name="Accent1 12" xfId="1059"/>
    <cellStyle name="Accent1 13" xfId="1060"/>
    <cellStyle name="Accent1 14" xfId="1061"/>
    <cellStyle name="Accent1 15" xfId="1062"/>
    <cellStyle name="Accent1 16" xfId="1063"/>
    <cellStyle name="Accent1 17" xfId="1064"/>
    <cellStyle name="Accent1 18" xfId="1065"/>
    <cellStyle name="Accent1 19" xfId="1066"/>
    <cellStyle name="Accent1 2" xfId="1067"/>
    <cellStyle name="Accent1 2 2" xfId="1068"/>
    <cellStyle name="Accent1 20" xfId="1069"/>
    <cellStyle name="Accent1 21" xfId="1070"/>
    <cellStyle name="Accent1 22" xfId="1071"/>
    <cellStyle name="Accent1 23" xfId="1072"/>
    <cellStyle name="Accent1 24" xfId="1073"/>
    <cellStyle name="Accent1 25" xfId="1074"/>
    <cellStyle name="Accent1 26" xfId="1075"/>
    <cellStyle name="Accent1 27" xfId="1076"/>
    <cellStyle name="Accent1 28" xfId="1077"/>
    <cellStyle name="Accent1 29" xfId="1078"/>
    <cellStyle name="Accent1 3" xfId="1079"/>
    <cellStyle name="Accent1 30" xfId="1080"/>
    <cellStyle name="Accent1 31" xfId="1081"/>
    <cellStyle name="Accent1 32" xfId="1082"/>
    <cellStyle name="Accent1 33" xfId="1083"/>
    <cellStyle name="Accent1 34" xfId="1084"/>
    <cellStyle name="Accent1 35" xfId="1085"/>
    <cellStyle name="Accent1 36" xfId="1086"/>
    <cellStyle name="Accent1 37" xfId="1087"/>
    <cellStyle name="Accent1 38" xfId="1088"/>
    <cellStyle name="Accent1 39" xfId="1089"/>
    <cellStyle name="Accent1 4" xfId="1090"/>
    <cellStyle name="Accent1 40" xfId="1091"/>
    <cellStyle name="Accent1 41" xfId="1092"/>
    <cellStyle name="Accent1 5" xfId="1093"/>
    <cellStyle name="Accent1 6" xfId="1094"/>
    <cellStyle name="Accent1 7" xfId="1095"/>
    <cellStyle name="Accent1 8" xfId="1096"/>
    <cellStyle name="Accent1 9" xfId="1097"/>
    <cellStyle name="Accent2 1" xfId="1098"/>
    <cellStyle name="Accent2 10" xfId="1099"/>
    <cellStyle name="Accent2 11" xfId="1100"/>
    <cellStyle name="Accent2 12" xfId="1101"/>
    <cellStyle name="Accent2 13" xfId="1102"/>
    <cellStyle name="Accent2 14" xfId="1103"/>
    <cellStyle name="Accent2 15" xfId="1104"/>
    <cellStyle name="Accent2 16" xfId="1105"/>
    <cellStyle name="Accent2 17" xfId="1106"/>
    <cellStyle name="Accent2 18" xfId="1107"/>
    <cellStyle name="Accent2 19" xfId="1108"/>
    <cellStyle name="Accent2 2" xfId="1109"/>
    <cellStyle name="Accent2 2 2" xfId="1110"/>
    <cellStyle name="Accent2 20" xfId="1111"/>
    <cellStyle name="Accent2 21" xfId="1112"/>
    <cellStyle name="Accent2 22" xfId="1113"/>
    <cellStyle name="Accent2 23" xfId="1114"/>
    <cellStyle name="Accent2 24" xfId="1115"/>
    <cellStyle name="Accent2 25" xfId="1116"/>
    <cellStyle name="Accent2 26" xfId="1117"/>
    <cellStyle name="Accent2 27" xfId="1118"/>
    <cellStyle name="Accent2 28" xfId="1119"/>
    <cellStyle name="Accent2 29" xfId="1120"/>
    <cellStyle name="Accent2 3" xfId="1121"/>
    <cellStyle name="Accent2 30" xfId="1122"/>
    <cellStyle name="Accent2 31" xfId="1123"/>
    <cellStyle name="Accent2 32" xfId="1124"/>
    <cellStyle name="Accent2 33" xfId="1125"/>
    <cellStyle name="Accent2 34" xfId="1126"/>
    <cellStyle name="Accent2 35" xfId="1127"/>
    <cellStyle name="Accent2 36" xfId="1128"/>
    <cellStyle name="Accent2 37" xfId="1129"/>
    <cellStyle name="Accent2 38" xfId="1130"/>
    <cellStyle name="Accent2 39" xfId="1131"/>
    <cellStyle name="Accent2 4" xfId="1132"/>
    <cellStyle name="Accent2 40" xfId="1133"/>
    <cellStyle name="Accent2 41" xfId="1134"/>
    <cellStyle name="Accent2 5" xfId="1135"/>
    <cellStyle name="Accent2 6" xfId="1136"/>
    <cellStyle name="Accent2 7" xfId="1137"/>
    <cellStyle name="Accent2 8" xfId="1138"/>
    <cellStyle name="Accent2 9" xfId="1139"/>
    <cellStyle name="Accent3 1" xfId="1140"/>
    <cellStyle name="Accent3 10" xfId="1141"/>
    <cellStyle name="Accent3 11" xfId="1142"/>
    <cellStyle name="Accent3 12" xfId="1143"/>
    <cellStyle name="Accent3 13" xfId="1144"/>
    <cellStyle name="Accent3 14" xfId="1145"/>
    <cellStyle name="Accent3 15" xfId="1146"/>
    <cellStyle name="Accent3 16" xfId="1147"/>
    <cellStyle name="Accent3 17" xfId="1148"/>
    <cellStyle name="Accent3 18" xfId="1149"/>
    <cellStyle name="Accent3 19" xfId="1150"/>
    <cellStyle name="Accent3 2" xfId="1151"/>
    <cellStyle name="Accent3 2 2" xfId="1152"/>
    <cellStyle name="Accent3 20" xfId="1153"/>
    <cellStyle name="Accent3 21" xfId="1154"/>
    <cellStyle name="Accent3 22" xfId="1155"/>
    <cellStyle name="Accent3 23" xfId="1156"/>
    <cellStyle name="Accent3 24" xfId="1157"/>
    <cellStyle name="Accent3 25" xfId="1158"/>
    <cellStyle name="Accent3 26" xfId="1159"/>
    <cellStyle name="Accent3 27" xfId="1160"/>
    <cellStyle name="Accent3 28" xfId="1161"/>
    <cellStyle name="Accent3 29" xfId="1162"/>
    <cellStyle name="Accent3 3" xfId="1163"/>
    <cellStyle name="Accent3 30" xfId="1164"/>
    <cellStyle name="Accent3 31" xfId="1165"/>
    <cellStyle name="Accent3 32" xfId="1166"/>
    <cellStyle name="Accent3 33" xfId="1167"/>
    <cellStyle name="Accent3 34" xfId="1168"/>
    <cellStyle name="Accent3 35" xfId="1169"/>
    <cellStyle name="Accent3 36" xfId="1170"/>
    <cellStyle name="Accent3 37" xfId="1171"/>
    <cellStyle name="Accent3 38" xfId="1172"/>
    <cellStyle name="Accent3 39" xfId="1173"/>
    <cellStyle name="Accent3 4" xfId="1174"/>
    <cellStyle name="Accent3 40" xfId="1175"/>
    <cellStyle name="Accent3 41" xfId="1176"/>
    <cellStyle name="Accent3 5" xfId="1177"/>
    <cellStyle name="Accent3 6" xfId="1178"/>
    <cellStyle name="Accent3 7" xfId="1179"/>
    <cellStyle name="Accent3 8" xfId="1180"/>
    <cellStyle name="Accent3 9" xfId="1181"/>
    <cellStyle name="Accent4 1" xfId="1182"/>
    <cellStyle name="Accent4 10" xfId="1183"/>
    <cellStyle name="Accent4 11" xfId="1184"/>
    <cellStyle name="Accent4 12" xfId="1185"/>
    <cellStyle name="Accent4 13" xfId="1186"/>
    <cellStyle name="Accent4 14" xfId="1187"/>
    <cellStyle name="Accent4 15" xfId="1188"/>
    <cellStyle name="Accent4 16" xfId="1189"/>
    <cellStyle name="Accent4 17" xfId="1190"/>
    <cellStyle name="Accent4 18" xfId="1191"/>
    <cellStyle name="Accent4 19" xfId="1192"/>
    <cellStyle name="Accent4 2" xfId="1193"/>
    <cellStyle name="Accent4 2 2" xfId="1194"/>
    <cellStyle name="Accent4 20" xfId="1195"/>
    <cellStyle name="Accent4 21" xfId="1196"/>
    <cellStyle name="Accent4 22" xfId="1197"/>
    <cellStyle name="Accent4 23" xfId="1198"/>
    <cellStyle name="Accent4 24" xfId="1199"/>
    <cellStyle name="Accent4 25" xfId="1200"/>
    <cellStyle name="Accent4 26" xfId="1201"/>
    <cellStyle name="Accent4 27" xfId="1202"/>
    <cellStyle name="Accent4 28" xfId="1203"/>
    <cellStyle name="Accent4 29" xfId="1204"/>
    <cellStyle name="Accent4 3" xfId="1205"/>
    <cellStyle name="Accent4 30" xfId="1206"/>
    <cellStyle name="Accent4 31" xfId="1207"/>
    <cellStyle name="Accent4 32" xfId="1208"/>
    <cellStyle name="Accent4 33" xfId="1209"/>
    <cellStyle name="Accent4 34" xfId="1210"/>
    <cellStyle name="Accent4 35" xfId="1211"/>
    <cellStyle name="Accent4 36" xfId="1212"/>
    <cellStyle name="Accent4 37" xfId="1213"/>
    <cellStyle name="Accent4 38" xfId="1214"/>
    <cellStyle name="Accent4 39" xfId="1215"/>
    <cellStyle name="Accent4 4" xfId="1216"/>
    <cellStyle name="Accent4 40" xfId="1217"/>
    <cellStyle name="Accent4 41" xfId="1218"/>
    <cellStyle name="Accent4 5" xfId="1219"/>
    <cellStyle name="Accent4 6" xfId="1220"/>
    <cellStyle name="Accent4 7" xfId="1221"/>
    <cellStyle name="Accent4 8" xfId="1222"/>
    <cellStyle name="Accent4 9" xfId="1223"/>
    <cellStyle name="Accent5 1" xfId="1224"/>
    <cellStyle name="Accent5 10" xfId="1225"/>
    <cellStyle name="Accent5 11" xfId="1226"/>
    <cellStyle name="Accent5 12" xfId="1227"/>
    <cellStyle name="Accent5 13" xfId="1228"/>
    <cellStyle name="Accent5 14" xfId="1229"/>
    <cellStyle name="Accent5 15" xfId="1230"/>
    <cellStyle name="Accent5 16" xfId="1231"/>
    <cellStyle name="Accent5 17" xfId="1232"/>
    <cellStyle name="Accent5 18" xfId="1233"/>
    <cellStyle name="Accent5 19" xfId="1234"/>
    <cellStyle name="Accent5 2" xfId="1235"/>
    <cellStyle name="Accent5 2 2" xfId="1236"/>
    <cellStyle name="Accent5 20" xfId="1237"/>
    <cellStyle name="Accent5 21" xfId="1238"/>
    <cellStyle name="Accent5 22" xfId="1239"/>
    <cellStyle name="Accent5 23" xfId="1240"/>
    <cellStyle name="Accent5 24" xfId="1241"/>
    <cellStyle name="Accent5 25" xfId="1242"/>
    <cellStyle name="Accent5 26" xfId="1243"/>
    <cellStyle name="Accent5 27" xfId="1244"/>
    <cellStyle name="Accent5 28" xfId="1245"/>
    <cellStyle name="Accent5 29" xfId="1246"/>
    <cellStyle name="Accent5 3" xfId="1247"/>
    <cellStyle name="Accent5 30" xfId="1248"/>
    <cellStyle name="Accent5 31" xfId="1249"/>
    <cellStyle name="Accent5 32" xfId="1250"/>
    <cellStyle name="Accent5 33" xfId="1251"/>
    <cellStyle name="Accent5 34" xfId="1252"/>
    <cellStyle name="Accent5 35" xfId="1253"/>
    <cellStyle name="Accent5 36" xfId="1254"/>
    <cellStyle name="Accent5 37" xfId="1255"/>
    <cellStyle name="Accent5 38" xfId="1256"/>
    <cellStyle name="Accent5 39" xfId="1257"/>
    <cellStyle name="Accent5 4" xfId="1258"/>
    <cellStyle name="Accent5 40" xfId="1259"/>
    <cellStyle name="Accent5 41" xfId="1260"/>
    <cellStyle name="Accent5 5" xfId="1261"/>
    <cellStyle name="Accent5 6" xfId="1262"/>
    <cellStyle name="Accent5 7" xfId="1263"/>
    <cellStyle name="Accent5 8" xfId="1264"/>
    <cellStyle name="Accent5 9" xfId="1265"/>
    <cellStyle name="Accent6 1" xfId="1266"/>
    <cellStyle name="Accent6 10" xfId="1267"/>
    <cellStyle name="Accent6 11" xfId="1268"/>
    <cellStyle name="Accent6 12" xfId="1269"/>
    <cellStyle name="Accent6 13" xfId="1270"/>
    <cellStyle name="Accent6 14" xfId="1271"/>
    <cellStyle name="Accent6 15" xfId="1272"/>
    <cellStyle name="Accent6 16" xfId="1273"/>
    <cellStyle name="Accent6 17" xfId="1274"/>
    <cellStyle name="Accent6 18" xfId="1275"/>
    <cellStyle name="Accent6 19" xfId="1276"/>
    <cellStyle name="Accent6 2" xfId="1277"/>
    <cellStyle name="Accent6 2 2" xfId="1278"/>
    <cellStyle name="Accent6 20" xfId="1279"/>
    <cellStyle name="Accent6 21" xfId="1280"/>
    <cellStyle name="Accent6 22" xfId="1281"/>
    <cellStyle name="Accent6 23" xfId="1282"/>
    <cellStyle name="Accent6 24" xfId="1283"/>
    <cellStyle name="Accent6 25" xfId="1284"/>
    <cellStyle name="Accent6 26" xfId="1285"/>
    <cellStyle name="Accent6 27" xfId="1286"/>
    <cellStyle name="Accent6 28" xfId="1287"/>
    <cellStyle name="Accent6 29" xfId="1288"/>
    <cellStyle name="Accent6 3" xfId="1289"/>
    <cellStyle name="Accent6 30" xfId="1290"/>
    <cellStyle name="Accent6 31" xfId="1291"/>
    <cellStyle name="Accent6 32" xfId="1292"/>
    <cellStyle name="Accent6 33" xfId="1293"/>
    <cellStyle name="Accent6 34" xfId="1294"/>
    <cellStyle name="Accent6 35" xfId="1295"/>
    <cellStyle name="Accent6 36" xfId="1296"/>
    <cellStyle name="Accent6 37" xfId="1297"/>
    <cellStyle name="Accent6 38" xfId="1298"/>
    <cellStyle name="Accent6 39" xfId="1299"/>
    <cellStyle name="Accent6 4" xfId="1300"/>
    <cellStyle name="Accent6 40" xfId="1301"/>
    <cellStyle name="Accent6 41" xfId="1302"/>
    <cellStyle name="Accent6 5" xfId="1303"/>
    <cellStyle name="Accent6 6" xfId="1304"/>
    <cellStyle name="Accent6 7" xfId="1305"/>
    <cellStyle name="Accent6 8" xfId="1306"/>
    <cellStyle name="Accent6 9" xfId="1307"/>
    <cellStyle name="Bé 1" xfId="1308"/>
    <cellStyle name="Bé 10" xfId="1309"/>
    <cellStyle name="Bé 11" xfId="1310"/>
    <cellStyle name="Bé 12" xfId="1311"/>
    <cellStyle name="Bé 13" xfId="1312"/>
    <cellStyle name="Bé 14" xfId="1313"/>
    <cellStyle name="Bé 15" xfId="1314"/>
    <cellStyle name="Bé 16" xfId="1315"/>
    <cellStyle name="Bé 17" xfId="1316"/>
    <cellStyle name="Bé 18" xfId="1317"/>
    <cellStyle name="Bé 19" xfId="1318"/>
    <cellStyle name="Bé 2" xfId="1319"/>
    <cellStyle name="Bé 2 2" xfId="1320"/>
    <cellStyle name="Bé 20" xfId="1321"/>
    <cellStyle name="Bé 21" xfId="1322"/>
    <cellStyle name="Bé 22" xfId="1323"/>
    <cellStyle name="Bé 23" xfId="1324"/>
    <cellStyle name="Bé 24" xfId="1325"/>
    <cellStyle name="Bé 25" xfId="1326"/>
    <cellStyle name="Bé 26" xfId="1327"/>
    <cellStyle name="Bé 27" xfId="1328"/>
    <cellStyle name="Bé 28" xfId="1329"/>
    <cellStyle name="Bé 29" xfId="1330"/>
    <cellStyle name="Bé 3" xfId="1331"/>
    <cellStyle name="Bé 30" xfId="1332"/>
    <cellStyle name="Bé 31" xfId="1333"/>
    <cellStyle name="Bé 32" xfId="1334"/>
    <cellStyle name="Bé 33" xfId="1335"/>
    <cellStyle name="Bé 34" xfId="1336"/>
    <cellStyle name="Bé 35" xfId="1337"/>
    <cellStyle name="Bé 36" xfId="1338"/>
    <cellStyle name="Bé 37" xfId="1339"/>
    <cellStyle name="Bé 38" xfId="1340"/>
    <cellStyle name="Bé 39" xfId="1341"/>
    <cellStyle name="Bé 4" xfId="1342"/>
    <cellStyle name="Bé 40" xfId="1343"/>
    <cellStyle name="Bé 41" xfId="1344"/>
    <cellStyle name="Bé 5" xfId="1345"/>
    <cellStyle name="Bé 6" xfId="1346"/>
    <cellStyle name="Bé 7" xfId="1347"/>
    <cellStyle name="Bé 8" xfId="1348"/>
    <cellStyle name="Bé 9" xfId="1349"/>
    <cellStyle name="Càlcul 1" xfId="1350"/>
    <cellStyle name="Càlcul 10" xfId="1351"/>
    <cellStyle name="Càlcul 11" xfId="1352"/>
    <cellStyle name="Càlcul 12" xfId="1353"/>
    <cellStyle name="Càlcul 13" xfId="1354"/>
    <cellStyle name="Càlcul 14" xfId="1355"/>
    <cellStyle name="Càlcul 15" xfId="1356"/>
    <cellStyle name="Càlcul 16" xfId="1357"/>
    <cellStyle name="Càlcul 17" xfId="1358"/>
    <cellStyle name="Càlcul 18" xfId="1359"/>
    <cellStyle name="Càlcul 19" xfId="1360"/>
    <cellStyle name="Càlcul 2" xfId="1361"/>
    <cellStyle name="Càlcul 2 2" xfId="1362"/>
    <cellStyle name="Càlcul 20" xfId="1363"/>
    <cellStyle name="Càlcul 21" xfId="1364"/>
    <cellStyle name="Càlcul 22" xfId="1365"/>
    <cellStyle name="Càlcul 23" xfId="1366"/>
    <cellStyle name="Càlcul 24" xfId="1367"/>
    <cellStyle name="Càlcul 25" xfId="1368"/>
    <cellStyle name="Càlcul 26" xfId="1369"/>
    <cellStyle name="Càlcul 27" xfId="1370"/>
    <cellStyle name="Càlcul 28" xfId="1371"/>
    <cellStyle name="Càlcul 29" xfId="1372"/>
    <cellStyle name="Càlcul 3" xfId="1373"/>
    <cellStyle name="Càlcul 30" xfId="1374"/>
    <cellStyle name="Càlcul 31" xfId="1375"/>
    <cellStyle name="Càlcul 32" xfId="1376"/>
    <cellStyle name="Càlcul 33" xfId="1377"/>
    <cellStyle name="Càlcul 34" xfId="1378"/>
    <cellStyle name="Càlcul 35" xfId="1379"/>
    <cellStyle name="Càlcul 36" xfId="1380"/>
    <cellStyle name="Càlcul 37" xfId="1381"/>
    <cellStyle name="Càlcul 38" xfId="1382"/>
    <cellStyle name="Càlcul 39" xfId="1383"/>
    <cellStyle name="Càlcul 4" xfId="1384"/>
    <cellStyle name="Càlcul 40" xfId="1385"/>
    <cellStyle name="Càlcul 41" xfId="1386"/>
    <cellStyle name="Càlcul 5" xfId="1387"/>
    <cellStyle name="Càlcul 6" xfId="1388"/>
    <cellStyle name="Càlcul 7" xfId="1389"/>
    <cellStyle name="Càlcul 8" xfId="1390"/>
    <cellStyle name="Càlcul 9" xfId="1391"/>
    <cellStyle name="Cálculo 10" xfId="1392"/>
    <cellStyle name="Cálculo 10 2" xfId="3331"/>
    <cellStyle name="Cálculo 11" xfId="1393"/>
    <cellStyle name="Cálculo 11 2" xfId="3332"/>
    <cellStyle name="Cálculo 12" xfId="1394"/>
    <cellStyle name="Cálculo 12 2" xfId="3333"/>
    <cellStyle name="Cálculo 13" xfId="1395"/>
    <cellStyle name="Cálculo 13 2" xfId="3334"/>
    <cellStyle name="Cálculo 14" xfId="1396"/>
    <cellStyle name="Cálculo 14 2" xfId="3335"/>
    <cellStyle name="Cálculo 15" xfId="1397"/>
    <cellStyle name="Cálculo 15 2" xfId="3336"/>
    <cellStyle name="Cálculo 2" xfId="1398"/>
    <cellStyle name="Cálculo 2 10" xfId="1399"/>
    <cellStyle name="Cálculo 2 10 2" xfId="3338"/>
    <cellStyle name="Cálculo 2 11" xfId="1400"/>
    <cellStyle name="Cálculo 2 11 2" xfId="3339"/>
    <cellStyle name="Cálculo 2 12" xfId="1401"/>
    <cellStyle name="Cálculo 2 12 2" xfId="3340"/>
    <cellStyle name="Cálculo 2 13" xfId="1402"/>
    <cellStyle name="Cálculo 2 13 2" xfId="3341"/>
    <cellStyle name="Cálculo 2 14" xfId="1403"/>
    <cellStyle name="Cálculo 2 14 2" xfId="3342"/>
    <cellStyle name="Cálculo 2 15" xfId="3337"/>
    <cellStyle name="Cálculo 2 2" xfId="1404"/>
    <cellStyle name="Cálculo 2 2 2" xfId="3343"/>
    <cellStyle name="Cálculo 2 3" xfId="1405"/>
    <cellStyle name="Cálculo 2 3 2" xfId="3344"/>
    <cellStyle name="Cálculo 2 4" xfId="1406"/>
    <cellStyle name="Cálculo 2 4 2" xfId="3345"/>
    <cellStyle name="Cálculo 2 5" xfId="1407"/>
    <cellStyle name="Cálculo 2 5 2" xfId="3346"/>
    <cellStyle name="Cálculo 2 6" xfId="1408"/>
    <cellStyle name="Cálculo 2 6 2" xfId="3347"/>
    <cellStyle name="Cálculo 2 7" xfId="1409"/>
    <cellStyle name="Cálculo 2 7 2" xfId="3348"/>
    <cellStyle name="Cálculo 2 8" xfId="1410"/>
    <cellStyle name="Cálculo 2 8 2" xfId="3349"/>
    <cellStyle name="Cálculo 2 9" xfId="1411"/>
    <cellStyle name="Cálculo 2 9 2" xfId="3350"/>
    <cellStyle name="Cálculo 3" xfId="1412"/>
    <cellStyle name="Cálculo 3 2" xfId="3351"/>
    <cellStyle name="Cálculo 4" xfId="1413"/>
    <cellStyle name="Cálculo 4 2" xfId="3352"/>
    <cellStyle name="Cálculo 5" xfId="1414"/>
    <cellStyle name="Cálculo 5 2" xfId="3353"/>
    <cellStyle name="Cálculo 6" xfId="1415"/>
    <cellStyle name="Cálculo 6 2" xfId="3354"/>
    <cellStyle name="Cálculo 7" xfId="1416"/>
    <cellStyle name="Cálculo 7 2" xfId="3355"/>
    <cellStyle name="Cálculo 8" xfId="1417"/>
    <cellStyle name="Cálculo 8 2" xfId="3356"/>
    <cellStyle name="Cálculo 9" xfId="1418"/>
    <cellStyle name="Cálculo 9 2" xfId="3357"/>
    <cellStyle name="Camp del DataPilot" xfId="3774"/>
    <cellStyle name="Cantonada del DataPilot" xfId="3775"/>
    <cellStyle name="Categoria del DataPilot" xfId="3776"/>
    <cellStyle name="Cel·la de comprovació 1" xfId="1419"/>
    <cellStyle name="Cel·la de comprovació 10" xfId="1420"/>
    <cellStyle name="Cel·la de comprovació 11" xfId="1421"/>
    <cellStyle name="Cel·la de comprovació 12" xfId="1422"/>
    <cellStyle name="Cel·la de comprovació 13" xfId="1423"/>
    <cellStyle name="Cel·la de comprovació 14" xfId="1424"/>
    <cellStyle name="Cel·la de comprovació 15" xfId="1425"/>
    <cellStyle name="Cel·la de comprovació 16" xfId="1426"/>
    <cellStyle name="Cel·la de comprovació 17" xfId="1427"/>
    <cellStyle name="Cel·la de comprovació 18" xfId="1428"/>
    <cellStyle name="Cel·la de comprovació 19" xfId="1429"/>
    <cellStyle name="Cel·la de comprovació 2" xfId="1430"/>
    <cellStyle name="Cel·la de comprovació 2 2" xfId="1431"/>
    <cellStyle name="Cel·la de comprovació 20" xfId="1432"/>
    <cellStyle name="Cel·la de comprovació 21" xfId="1433"/>
    <cellStyle name="Cel·la de comprovació 22" xfId="1434"/>
    <cellStyle name="Cel·la de comprovació 23" xfId="1435"/>
    <cellStyle name="Cel·la de comprovació 24" xfId="1436"/>
    <cellStyle name="Cel·la de comprovació 25" xfId="1437"/>
    <cellStyle name="Cel·la de comprovació 26" xfId="1438"/>
    <cellStyle name="Cel·la de comprovació 27" xfId="1439"/>
    <cellStyle name="Cel·la de comprovació 28" xfId="1440"/>
    <cellStyle name="Cel·la de comprovació 29" xfId="1441"/>
    <cellStyle name="Cel·la de comprovació 3" xfId="1442"/>
    <cellStyle name="Cel·la de comprovació 30" xfId="1443"/>
    <cellStyle name="Cel·la de comprovació 31" xfId="1444"/>
    <cellStyle name="Cel·la de comprovació 32" xfId="1445"/>
    <cellStyle name="Cel·la de comprovació 33" xfId="1446"/>
    <cellStyle name="Cel·la de comprovació 34" xfId="1447"/>
    <cellStyle name="Cel·la de comprovació 35" xfId="1448"/>
    <cellStyle name="Cel·la de comprovació 36" xfId="1449"/>
    <cellStyle name="Cel·la de comprovació 37" xfId="1450"/>
    <cellStyle name="Cel·la de comprovació 38" xfId="1451"/>
    <cellStyle name="Cel·la de comprovació 39" xfId="1452"/>
    <cellStyle name="Cel·la de comprovació 4" xfId="1453"/>
    <cellStyle name="Cel·la de comprovació 40" xfId="1454"/>
    <cellStyle name="Cel·la de comprovació 41" xfId="1455"/>
    <cellStyle name="Cel·la de comprovació 5" xfId="1456"/>
    <cellStyle name="Cel·la de comprovació 6" xfId="1457"/>
    <cellStyle name="Cel·la de comprovació 7" xfId="1458"/>
    <cellStyle name="Cel·la de comprovació 8" xfId="1459"/>
    <cellStyle name="Cel·la de comprovació 9" xfId="1460"/>
    <cellStyle name="Cel·la enllaçada 1" xfId="1461"/>
    <cellStyle name="Cel·la enllaçada 10" xfId="1462"/>
    <cellStyle name="Cel·la enllaçada 11" xfId="1463"/>
    <cellStyle name="Cel·la enllaçada 12" xfId="1464"/>
    <cellStyle name="Cel·la enllaçada 13" xfId="1465"/>
    <cellStyle name="Cel·la enllaçada 14" xfId="1466"/>
    <cellStyle name="Cel·la enllaçada 15" xfId="1467"/>
    <cellStyle name="Cel·la enllaçada 16" xfId="1468"/>
    <cellStyle name="Cel·la enllaçada 17" xfId="1469"/>
    <cellStyle name="Cel·la enllaçada 18" xfId="1470"/>
    <cellStyle name="Cel·la enllaçada 19" xfId="1471"/>
    <cellStyle name="Cel·la enllaçada 2" xfId="1472"/>
    <cellStyle name="Cel·la enllaçada 2 2" xfId="1473"/>
    <cellStyle name="Cel·la enllaçada 20" xfId="1474"/>
    <cellStyle name="Cel·la enllaçada 21" xfId="1475"/>
    <cellStyle name="Cel·la enllaçada 22" xfId="1476"/>
    <cellStyle name="Cel·la enllaçada 23" xfId="1477"/>
    <cellStyle name="Cel·la enllaçada 24" xfId="1478"/>
    <cellStyle name="Cel·la enllaçada 25" xfId="1479"/>
    <cellStyle name="Cel·la enllaçada 26" xfId="1480"/>
    <cellStyle name="Cel·la enllaçada 27" xfId="1481"/>
    <cellStyle name="Cel·la enllaçada 28" xfId="1482"/>
    <cellStyle name="Cel·la enllaçada 29" xfId="1483"/>
    <cellStyle name="Cel·la enllaçada 3" xfId="1484"/>
    <cellStyle name="Cel·la enllaçada 30" xfId="1485"/>
    <cellStyle name="Cel·la enllaçada 31" xfId="1486"/>
    <cellStyle name="Cel·la enllaçada 32" xfId="1487"/>
    <cellStyle name="Cel·la enllaçada 33" xfId="1488"/>
    <cellStyle name="Cel·la enllaçada 34" xfId="1489"/>
    <cellStyle name="Cel·la enllaçada 35" xfId="1490"/>
    <cellStyle name="Cel·la enllaçada 36" xfId="1491"/>
    <cellStyle name="Cel·la enllaçada 37" xfId="1492"/>
    <cellStyle name="Cel·la enllaçada 38" xfId="1493"/>
    <cellStyle name="Cel·la enllaçada 39" xfId="1494"/>
    <cellStyle name="Cel·la enllaçada 4" xfId="1495"/>
    <cellStyle name="Cel·la enllaçada 40" xfId="1496"/>
    <cellStyle name="Cel·la enllaçada 41" xfId="1497"/>
    <cellStyle name="Cel·la enllaçada 5" xfId="1498"/>
    <cellStyle name="Cel·la enllaçada 6" xfId="1499"/>
    <cellStyle name="Cel·la enllaçada 7" xfId="1500"/>
    <cellStyle name="Cel·la enllaçada 8" xfId="1501"/>
    <cellStyle name="Cel·la enllaçada 9" xfId="1502"/>
    <cellStyle name="Coma 2" xfId="3453"/>
    <cellStyle name="Coma 3" xfId="1503"/>
    <cellStyle name="Comma  - Style1" xfId="1504"/>
    <cellStyle name="Comma  - Style2" xfId="1505"/>
    <cellStyle name="Comma  - Style3" xfId="1506"/>
    <cellStyle name="Comma  - Style4" xfId="1507"/>
    <cellStyle name="Comma  - Style5" xfId="1508"/>
    <cellStyle name="Comma  - Style6" xfId="1509"/>
    <cellStyle name="Comma  - Style7" xfId="1510"/>
    <cellStyle name="Comma  - Style8" xfId="1511"/>
    <cellStyle name="Comma [0]_A" xfId="1512"/>
    <cellStyle name="Comma_A" xfId="1513"/>
    <cellStyle name="Currency [0]_A" xfId="1514"/>
    <cellStyle name="Currency_A" xfId="1515"/>
    <cellStyle name="Dezimal_Grundlagen" xfId="1516"/>
    <cellStyle name="Énfasis4" xfId="3" builtinId="41"/>
    <cellStyle name="Enllaç 2" xfId="9"/>
    <cellStyle name="Enllaç 2 2" xfId="1517"/>
    <cellStyle name="Enllaç 2 3" xfId="3358"/>
    <cellStyle name="Enllaç 3" xfId="1518"/>
    <cellStyle name="Enllaç 3 2" xfId="3359"/>
    <cellStyle name="Entrada 1" xfId="1519"/>
    <cellStyle name="Entrada 10" xfId="1520"/>
    <cellStyle name="Entrada 11" xfId="1521"/>
    <cellStyle name="Entrada 12" xfId="1522"/>
    <cellStyle name="Entrada 13" xfId="1523"/>
    <cellStyle name="Entrada 14" xfId="1524"/>
    <cellStyle name="Entrada 15" xfId="1525"/>
    <cellStyle name="Entrada 16" xfId="1526"/>
    <cellStyle name="Entrada 17" xfId="1527"/>
    <cellStyle name="Entrada 18" xfId="1528"/>
    <cellStyle name="Entrada 19" xfId="1529"/>
    <cellStyle name="Entrada 2" xfId="1530"/>
    <cellStyle name="Entrada 2 10" xfId="1531"/>
    <cellStyle name="Entrada 2 10 2" xfId="3361"/>
    <cellStyle name="Entrada 2 11" xfId="1532"/>
    <cellStyle name="Entrada 2 11 2" xfId="3362"/>
    <cellStyle name="Entrada 2 12" xfId="1533"/>
    <cellStyle name="Entrada 2 12 2" xfId="3363"/>
    <cellStyle name="Entrada 2 13" xfId="1534"/>
    <cellStyle name="Entrada 2 13 2" xfId="3364"/>
    <cellStyle name="Entrada 2 14" xfId="1535"/>
    <cellStyle name="Entrada 2 14 2" xfId="3365"/>
    <cellStyle name="Entrada 2 15" xfId="1536"/>
    <cellStyle name="Entrada 2 15 2" xfId="3366"/>
    <cellStyle name="Entrada 2 16" xfId="3360"/>
    <cellStyle name="Entrada 2 2" xfId="1537"/>
    <cellStyle name="Entrada 2 2 10" xfId="1538"/>
    <cellStyle name="Entrada 2 2 10 2" xfId="3368"/>
    <cellStyle name="Entrada 2 2 11" xfId="1539"/>
    <cellStyle name="Entrada 2 2 11 2" xfId="3369"/>
    <cellStyle name="Entrada 2 2 12" xfId="1540"/>
    <cellStyle name="Entrada 2 2 12 2" xfId="3370"/>
    <cellStyle name="Entrada 2 2 13" xfId="1541"/>
    <cellStyle name="Entrada 2 2 13 2" xfId="3371"/>
    <cellStyle name="Entrada 2 2 14" xfId="1542"/>
    <cellStyle name="Entrada 2 2 14 2" xfId="3372"/>
    <cellStyle name="Entrada 2 2 15" xfId="3367"/>
    <cellStyle name="Entrada 2 2 2" xfId="1543"/>
    <cellStyle name="Entrada 2 2 2 2" xfId="3373"/>
    <cellStyle name="Entrada 2 2 3" xfId="1544"/>
    <cellStyle name="Entrada 2 2 3 2" xfId="3374"/>
    <cellStyle name="Entrada 2 2 4" xfId="1545"/>
    <cellStyle name="Entrada 2 2 4 2" xfId="3375"/>
    <cellStyle name="Entrada 2 2 5" xfId="1546"/>
    <cellStyle name="Entrada 2 2 5 2" xfId="3376"/>
    <cellStyle name="Entrada 2 2 6" xfId="1547"/>
    <cellStyle name="Entrada 2 2 6 2" xfId="3377"/>
    <cellStyle name="Entrada 2 2 7" xfId="1548"/>
    <cellStyle name="Entrada 2 2 7 2" xfId="3378"/>
    <cellStyle name="Entrada 2 2 8" xfId="1549"/>
    <cellStyle name="Entrada 2 2 8 2" xfId="3379"/>
    <cellStyle name="Entrada 2 2 9" xfId="1550"/>
    <cellStyle name="Entrada 2 2 9 2" xfId="3380"/>
    <cellStyle name="Entrada 2 3" xfId="1551"/>
    <cellStyle name="Entrada 2 3 2" xfId="3381"/>
    <cellStyle name="Entrada 2 4" xfId="1552"/>
    <cellStyle name="Entrada 2 4 2" xfId="3382"/>
    <cellStyle name="Entrada 2 5" xfId="1553"/>
    <cellStyle name="Entrada 2 5 2" xfId="3383"/>
    <cellStyle name="Entrada 2 6" xfId="1554"/>
    <cellStyle name="Entrada 2 6 2" xfId="3384"/>
    <cellStyle name="Entrada 2 7" xfId="1555"/>
    <cellStyle name="Entrada 2 7 2" xfId="3385"/>
    <cellStyle name="Entrada 2 8" xfId="1556"/>
    <cellStyle name="Entrada 2 8 2" xfId="3386"/>
    <cellStyle name="Entrada 2 9" xfId="1557"/>
    <cellStyle name="Entrada 2 9 2" xfId="3387"/>
    <cellStyle name="Entrada 20" xfId="1558"/>
    <cellStyle name="Entrada 21" xfId="1559"/>
    <cellStyle name="Entrada 22" xfId="1560"/>
    <cellStyle name="Entrada 23" xfId="1561"/>
    <cellStyle name="Entrada 24" xfId="1562"/>
    <cellStyle name="Entrada 25" xfId="1563"/>
    <cellStyle name="Entrada 26" xfId="1564"/>
    <cellStyle name="Entrada 27" xfId="1565"/>
    <cellStyle name="Entrada 28" xfId="1566"/>
    <cellStyle name="Entrada 29" xfId="1567"/>
    <cellStyle name="Entrada 3" xfId="1568"/>
    <cellStyle name="Entrada 30" xfId="1569"/>
    <cellStyle name="Entrada 31" xfId="1570"/>
    <cellStyle name="Entrada 32" xfId="1571"/>
    <cellStyle name="Entrada 33" xfId="1572"/>
    <cellStyle name="Entrada 34" xfId="1573"/>
    <cellStyle name="Entrada 35" xfId="1574"/>
    <cellStyle name="Entrada 36" xfId="1575"/>
    <cellStyle name="Entrada 37" xfId="1576"/>
    <cellStyle name="Entrada 38" xfId="1577"/>
    <cellStyle name="Entrada 39" xfId="1578"/>
    <cellStyle name="Entrada 4" xfId="1579"/>
    <cellStyle name="Entrada 40" xfId="1580"/>
    <cellStyle name="Entrada 41" xfId="1581"/>
    <cellStyle name="Entrada 5" xfId="1582"/>
    <cellStyle name="Entrada 6" xfId="1583"/>
    <cellStyle name="Entrada 7" xfId="1584"/>
    <cellStyle name="Entrada 8" xfId="1585"/>
    <cellStyle name="Entrada 9" xfId="1586"/>
    <cellStyle name="Estil 1" xfId="1587"/>
    <cellStyle name="Estil 1 2" xfId="3540"/>
    <cellStyle name="Estil 1 3" xfId="3667"/>
    <cellStyle name="Euro" xfId="1588"/>
    <cellStyle name="Euro 1" xfId="1589"/>
    <cellStyle name="Euro 10" xfId="1590"/>
    <cellStyle name="Euro 11" xfId="1591"/>
    <cellStyle name="Euro 12" xfId="1592"/>
    <cellStyle name="Euro 13" xfId="1593"/>
    <cellStyle name="Euro 14" xfId="1594"/>
    <cellStyle name="Euro 15" xfId="1595"/>
    <cellStyle name="Euro 16" xfId="1596"/>
    <cellStyle name="Euro 17" xfId="1597"/>
    <cellStyle name="Euro 18" xfId="1598"/>
    <cellStyle name="Euro 19" xfId="1599"/>
    <cellStyle name="Euro 2" xfId="1600"/>
    <cellStyle name="Euro 2 10" xfId="1601"/>
    <cellStyle name="Euro 2 11" xfId="1602"/>
    <cellStyle name="Euro 2 12" xfId="1603"/>
    <cellStyle name="Euro 2 13" xfId="1604"/>
    <cellStyle name="Euro 2 14" xfId="1605"/>
    <cellStyle name="Euro 2 15" xfId="1606"/>
    <cellStyle name="Euro 2 16" xfId="1607"/>
    <cellStyle name="Euro 2 17" xfId="1608"/>
    <cellStyle name="Euro 2 18" xfId="1609"/>
    <cellStyle name="Euro 2 19" xfId="1610"/>
    <cellStyle name="Euro 2 2" xfId="1611"/>
    <cellStyle name="Euro 2 20" xfId="1612"/>
    <cellStyle name="Euro 2 21" xfId="1613"/>
    <cellStyle name="Euro 2 22" xfId="1614"/>
    <cellStyle name="Euro 2 23" xfId="1615"/>
    <cellStyle name="Euro 2 24" xfId="1616"/>
    <cellStyle name="Euro 2 25" xfId="1617"/>
    <cellStyle name="Euro 2 26" xfId="1618"/>
    <cellStyle name="Euro 2 27" xfId="1619"/>
    <cellStyle name="Euro 2 28" xfId="1620"/>
    <cellStyle name="Euro 2 29" xfId="1621"/>
    <cellStyle name="Euro 2 3" xfId="1622"/>
    <cellStyle name="Euro 2 30" xfId="1623"/>
    <cellStyle name="Euro 2 31" xfId="1624"/>
    <cellStyle name="Euro 2 32" xfId="1625"/>
    <cellStyle name="Euro 2 33" xfId="1626"/>
    <cellStyle name="Euro 2 34" xfId="1627"/>
    <cellStyle name="Euro 2 35" xfId="1628"/>
    <cellStyle name="Euro 2 36" xfId="1629"/>
    <cellStyle name="Euro 2 37" xfId="1630"/>
    <cellStyle name="Euro 2 38" xfId="1631"/>
    <cellStyle name="Euro 2 39" xfId="1632"/>
    <cellStyle name="Euro 2 4" xfId="1633"/>
    <cellStyle name="Euro 2 40" xfId="1634"/>
    <cellStyle name="Euro 2 41" xfId="1635"/>
    <cellStyle name="Euro 2 42" xfId="1636"/>
    <cellStyle name="Euro 2 43" xfId="1637"/>
    <cellStyle name="Euro 2 44" xfId="1638"/>
    <cellStyle name="Euro 2 45" xfId="1639"/>
    <cellStyle name="Euro 2 46" xfId="1640"/>
    <cellStyle name="Euro 2 47" xfId="1641"/>
    <cellStyle name="Euro 2 5" xfId="1642"/>
    <cellStyle name="Euro 2 6" xfId="1643"/>
    <cellStyle name="Euro 2 7" xfId="1644"/>
    <cellStyle name="Euro 2 8" xfId="1645"/>
    <cellStyle name="Euro 2 9" xfId="1646"/>
    <cellStyle name="Euro 20" xfId="1647"/>
    <cellStyle name="Euro 21" xfId="1648"/>
    <cellStyle name="Euro 22" xfId="1649"/>
    <cellStyle name="Euro 23" xfId="1650"/>
    <cellStyle name="Euro 24" xfId="1651"/>
    <cellStyle name="Euro 25" xfId="1652"/>
    <cellStyle name="Euro 26" xfId="1653"/>
    <cellStyle name="Euro 27" xfId="1654"/>
    <cellStyle name="Euro 28" xfId="1655"/>
    <cellStyle name="Euro 29" xfId="1656"/>
    <cellStyle name="Euro 3" xfId="1657"/>
    <cellStyle name="Euro 3 10" xfId="1658"/>
    <cellStyle name="Euro 3 11" xfId="1659"/>
    <cellStyle name="Euro 3 12" xfId="1660"/>
    <cellStyle name="Euro 3 13" xfId="1661"/>
    <cellStyle name="Euro 3 14" xfId="1662"/>
    <cellStyle name="Euro 3 15" xfId="1663"/>
    <cellStyle name="Euro 3 16" xfId="1664"/>
    <cellStyle name="Euro 3 17" xfId="1665"/>
    <cellStyle name="Euro 3 18" xfId="1666"/>
    <cellStyle name="Euro 3 19" xfId="1667"/>
    <cellStyle name="Euro 3 2" xfId="1668"/>
    <cellStyle name="Euro 3 2 2" xfId="1669"/>
    <cellStyle name="Euro 3 20" xfId="1670"/>
    <cellStyle name="Euro 3 21" xfId="1671"/>
    <cellStyle name="Euro 3 22" xfId="1672"/>
    <cellStyle name="Euro 3 23" xfId="1673"/>
    <cellStyle name="Euro 3 24" xfId="1674"/>
    <cellStyle name="Euro 3 25" xfId="1675"/>
    <cellStyle name="Euro 3 26" xfId="1676"/>
    <cellStyle name="Euro 3 27" xfId="1677"/>
    <cellStyle name="Euro 3 28" xfId="1678"/>
    <cellStyle name="Euro 3 29" xfId="1679"/>
    <cellStyle name="Euro 3 3" xfId="1680"/>
    <cellStyle name="Euro 3 3 2" xfId="1681"/>
    <cellStyle name="Euro 3 30" xfId="1682"/>
    <cellStyle name="Euro 3 31" xfId="1683"/>
    <cellStyle name="Euro 3 32" xfId="1684"/>
    <cellStyle name="Euro 3 33" xfId="1685"/>
    <cellStyle name="Euro 3 34" xfId="1686"/>
    <cellStyle name="Euro 3 35" xfId="1687"/>
    <cellStyle name="Euro 3 36" xfId="1688"/>
    <cellStyle name="Euro 3 37" xfId="1689"/>
    <cellStyle name="Euro 3 38" xfId="1690"/>
    <cellStyle name="Euro 3 39" xfId="1691"/>
    <cellStyle name="Euro 3 4" xfId="1692"/>
    <cellStyle name="Euro 3 40" xfId="1693"/>
    <cellStyle name="Euro 3 41" xfId="1694"/>
    <cellStyle name="Euro 3 42" xfId="1695"/>
    <cellStyle name="Euro 3 43" xfId="1696"/>
    <cellStyle name="Euro 3 44" xfId="1697"/>
    <cellStyle name="Euro 3 45" xfId="1698"/>
    <cellStyle name="Euro 3 46" xfId="1699"/>
    <cellStyle name="Euro 3 47" xfId="1700"/>
    <cellStyle name="Euro 3 48" xfId="1701"/>
    <cellStyle name="Euro 3 5" xfId="1702"/>
    <cellStyle name="Euro 3 6" xfId="1703"/>
    <cellStyle name="Euro 3 7" xfId="1704"/>
    <cellStyle name="Euro 3 8" xfId="1705"/>
    <cellStyle name="Euro 3 9" xfId="1706"/>
    <cellStyle name="Euro 30" xfId="1707"/>
    <cellStyle name="Euro 31" xfId="1708"/>
    <cellStyle name="Euro 32" xfId="1709"/>
    <cellStyle name="Euro 33" xfId="1710"/>
    <cellStyle name="Euro 34" xfId="1711"/>
    <cellStyle name="Euro 35" xfId="1712"/>
    <cellStyle name="Euro 36" xfId="1713"/>
    <cellStyle name="Euro 37" xfId="1714"/>
    <cellStyle name="Euro 38" xfId="1715"/>
    <cellStyle name="Euro 39" xfId="1716"/>
    <cellStyle name="Euro 4" xfId="1717"/>
    <cellStyle name="Euro 4 2" xfId="1718"/>
    <cellStyle name="Euro 4 3" xfId="1719"/>
    <cellStyle name="Euro 4 4" xfId="1720"/>
    <cellStyle name="Euro 40" xfId="1721"/>
    <cellStyle name="Euro 41" xfId="1722"/>
    <cellStyle name="Euro 42" xfId="1723"/>
    <cellStyle name="Euro 43" xfId="1724"/>
    <cellStyle name="Euro 44" xfId="1725"/>
    <cellStyle name="Euro 45" xfId="1726"/>
    <cellStyle name="Euro 46" xfId="1727"/>
    <cellStyle name="Euro 47" xfId="1728"/>
    <cellStyle name="Euro 48" xfId="1729"/>
    <cellStyle name="Euro 49" xfId="1730"/>
    <cellStyle name="Euro 5" xfId="1731"/>
    <cellStyle name="Euro 5 2" xfId="1732"/>
    <cellStyle name="Euro 5 3" xfId="1733"/>
    <cellStyle name="Euro 50" xfId="1734"/>
    <cellStyle name="Euro 51" xfId="1735"/>
    <cellStyle name="Euro 52" xfId="1736"/>
    <cellStyle name="Euro 53" xfId="1737"/>
    <cellStyle name="Euro 54" xfId="1738"/>
    <cellStyle name="Euro 55" xfId="1739"/>
    <cellStyle name="Euro 56" xfId="1740"/>
    <cellStyle name="Euro 57" xfId="1741"/>
    <cellStyle name="Euro 58" xfId="1742"/>
    <cellStyle name="Euro 59" xfId="1743"/>
    <cellStyle name="Euro 6" xfId="1744"/>
    <cellStyle name="Euro 6 2" xfId="1745"/>
    <cellStyle name="Euro 60" xfId="1746"/>
    <cellStyle name="Euro 61" xfId="1747"/>
    <cellStyle name="Euro 62" xfId="1748"/>
    <cellStyle name="Euro 63" xfId="1749"/>
    <cellStyle name="Euro 64" xfId="1750"/>
    <cellStyle name="Euro 65" xfId="1751"/>
    <cellStyle name="Euro 66" xfId="1752"/>
    <cellStyle name="Euro 67" xfId="1753"/>
    <cellStyle name="Euro 68" xfId="1754"/>
    <cellStyle name="Euro 69" xfId="1755"/>
    <cellStyle name="Euro 7" xfId="1756"/>
    <cellStyle name="Euro 70" xfId="1757"/>
    <cellStyle name="Euro 71" xfId="1758"/>
    <cellStyle name="Euro 72" xfId="1759"/>
    <cellStyle name="Euro 73" xfId="1760"/>
    <cellStyle name="Euro 74" xfId="1761"/>
    <cellStyle name="Euro 75" xfId="1762"/>
    <cellStyle name="Euro 76" xfId="1763"/>
    <cellStyle name="Euro 77" xfId="1764"/>
    <cellStyle name="Euro 78" xfId="1765"/>
    <cellStyle name="Euro 79" xfId="1766"/>
    <cellStyle name="Euro 8" xfId="1767"/>
    <cellStyle name="Euro 9" xfId="1768"/>
    <cellStyle name="Euro_PRESSUPOST 2007 -Facturació Honoraris 2" xfId="1769"/>
    <cellStyle name="Excel Built-in Accent3" xfId="3777"/>
    <cellStyle name="Excel Built-in Normal" xfId="3778"/>
    <cellStyle name="FormatP12" xfId="1770"/>
    <cellStyle name="FormatP12 2" xfId="1771"/>
    <cellStyle name="FormatP12 2 10" xfId="1772"/>
    <cellStyle name="FormatP12 2 11" xfId="1773"/>
    <cellStyle name="FormatP12 2 12" xfId="1774"/>
    <cellStyle name="FormatP12 2 13" xfId="1775"/>
    <cellStyle name="FormatP12 2 14" xfId="1776"/>
    <cellStyle name="FormatP12 2 15" xfId="1777"/>
    <cellStyle name="FormatP12 2 16" xfId="1778"/>
    <cellStyle name="FormatP12 2 17" xfId="1779"/>
    <cellStyle name="FormatP12 2 18" xfId="1780"/>
    <cellStyle name="FormatP12 2 19" xfId="1781"/>
    <cellStyle name="FormatP12 2 2" xfId="1782"/>
    <cellStyle name="FormatP12 2 2 2" xfId="3611"/>
    <cellStyle name="FormatP12 2 2 3" xfId="3750"/>
    <cellStyle name="FormatP12 2 20" xfId="1783"/>
    <cellStyle name="FormatP12 2 21" xfId="1784"/>
    <cellStyle name="FormatP12 2 22" xfId="1785"/>
    <cellStyle name="FormatP12 2 23" xfId="1786"/>
    <cellStyle name="FormatP12 2 24" xfId="1787"/>
    <cellStyle name="FormatP12 2 25" xfId="1788"/>
    <cellStyle name="FormatP12 2 26" xfId="1789"/>
    <cellStyle name="FormatP12 2 27" xfId="1790"/>
    <cellStyle name="FormatP12 2 28" xfId="1791"/>
    <cellStyle name="FormatP12 2 29" xfId="1792"/>
    <cellStyle name="FormatP12 2 3" xfId="1793"/>
    <cellStyle name="FormatP12 2 30" xfId="1794"/>
    <cellStyle name="FormatP12 2 31" xfId="1795"/>
    <cellStyle name="FormatP12 2 32" xfId="1796"/>
    <cellStyle name="FormatP12 2 33" xfId="1797"/>
    <cellStyle name="FormatP12 2 34" xfId="1798"/>
    <cellStyle name="FormatP12 2 35" xfId="1799"/>
    <cellStyle name="FormatP12 2 36" xfId="1800"/>
    <cellStyle name="FormatP12 2 37" xfId="1801"/>
    <cellStyle name="FormatP12 2 38" xfId="1802"/>
    <cellStyle name="FormatP12 2 39" xfId="1803"/>
    <cellStyle name="FormatP12 2 4" xfId="1804"/>
    <cellStyle name="FormatP12 2 4 2" xfId="3669"/>
    <cellStyle name="FormatP12 2 40" xfId="1805"/>
    <cellStyle name="FormatP12 2 41" xfId="1806"/>
    <cellStyle name="FormatP12 2 42" xfId="1807"/>
    <cellStyle name="FormatP12 2 43" xfId="1808"/>
    <cellStyle name="FormatP12 2 44" xfId="1809"/>
    <cellStyle name="FormatP12 2 45" xfId="1810"/>
    <cellStyle name="FormatP12 2 46" xfId="1811"/>
    <cellStyle name="FormatP12 2 47" xfId="1812"/>
    <cellStyle name="FormatP12 2 5" xfId="1813"/>
    <cellStyle name="FormatP12 2 6" xfId="1814"/>
    <cellStyle name="FormatP12 2 7" xfId="1815"/>
    <cellStyle name="FormatP12 2 8" xfId="1816"/>
    <cellStyle name="FormatP12 2 9" xfId="1817"/>
    <cellStyle name="FormatP12 3" xfId="1818"/>
    <cellStyle name="FormatP12 3 2" xfId="1819"/>
    <cellStyle name="FormatP12 3 2 2" xfId="3612"/>
    <cellStyle name="FormatP12 3 2 3" xfId="3751"/>
    <cellStyle name="FormatP12 3 3" xfId="1820"/>
    <cellStyle name="FormatP12 3 4" xfId="3670"/>
    <cellStyle name="FormatP12 4" xfId="1821"/>
    <cellStyle name="FormatP12 4 2" xfId="1822"/>
    <cellStyle name="FormatP12 4 2 2" xfId="3613"/>
    <cellStyle name="FormatP12 4 2 3" xfId="3752"/>
    <cellStyle name="FormatP12 4 3" xfId="3542"/>
    <cellStyle name="FormatP12 4 4" xfId="3671"/>
    <cellStyle name="FormatP12 5" xfId="3541"/>
    <cellStyle name="FormatP12 6" xfId="3668"/>
    <cellStyle name="FormatP13" xfId="1823"/>
    <cellStyle name="FormatP13 2" xfId="1824"/>
    <cellStyle name="FormatP13 2 10" xfId="1825"/>
    <cellStyle name="FormatP13 2 11" xfId="1826"/>
    <cellStyle name="FormatP13 2 12" xfId="1827"/>
    <cellStyle name="FormatP13 2 13" xfId="1828"/>
    <cellStyle name="FormatP13 2 14" xfId="1829"/>
    <cellStyle name="FormatP13 2 15" xfId="1830"/>
    <cellStyle name="FormatP13 2 16" xfId="1831"/>
    <cellStyle name="FormatP13 2 17" xfId="1832"/>
    <cellStyle name="FormatP13 2 18" xfId="1833"/>
    <cellStyle name="FormatP13 2 19" xfId="1834"/>
    <cellStyle name="FormatP13 2 2" xfId="1835"/>
    <cellStyle name="FormatP13 2 2 2" xfId="3614"/>
    <cellStyle name="FormatP13 2 2 3" xfId="3753"/>
    <cellStyle name="FormatP13 2 20" xfId="1836"/>
    <cellStyle name="FormatP13 2 21" xfId="1837"/>
    <cellStyle name="FormatP13 2 22" xfId="1838"/>
    <cellStyle name="FormatP13 2 23" xfId="1839"/>
    <cellStyle name="FormatP13 2 24" xfId="1840"/>
    <cellStyle name="FormatP13 2 25" xfId="1841"/>
    <cellStyle name="FormatP13 2 26" xfId="1842"/>
    <cellStyle name="FormatP13 2 27" xfId="1843"/>
    <cellStyle name="FormatP13 2 28" xfId="1844"/>
    <cellStyle name="FormatP13 2 29" xfId="1845"/>
    <cellStyle name="FormatP13 2 3" xfId="1846"/>
    <cellStyle name="FormatP13 2 30" xfId="1847"/>
    <cellStyle name="FormatP13 2 31" xfId="1848"/>
    <cellStyle name="FormatP13 2 32" xfId="1849"/>
    <cellStyle name="FormatP13 2 33" xfId="1850"/>
    <cellStyle name="FormatP13 2 34" xfId="1851"/>
    <cellStyle name="FormatP13 2 35" xfId="1852"/>
    <cellStyle name="FormatP13 2 36" xfId="1853"/>
    <cellStyle name="FormatP13 2 37" xfId="1854"/>
    <cellStyle name="FormatP13 2 38" xfId="1855"/>
    <cellStyle name="FormatP13 2 39" xfId="1856"/>
    <cellStyle name="FormatP13 2 4" xfId="1857"/>
    <cellStyle name="FormatP13 2 4 2" xfId="3673"/>
    <cellStyle name="FormatP13 2 40" xfId="1858"/>
    <cellStyle name="FormatP13 2 41" xfId="1859"/>
    <cellStyle name="FormatP13 2 42" xfId="1860"/>
    <cellStyle name="FormatP13 2 43" xfId="1861"/>
    <cellStyle name="FormatP13 2 44" xfId="1862"/>
    <cellStyle name="FormatP13 2 45" xfId="1863"/>
    <cellStyle name="FormatP13 2 46" xfId="1864"/>
    <cellStyle name="FormatP13 2 47" xfId="1865"/>
    <cellStyle name="FormatP13 2 5" xfId="1866"/>
    <cellStyle name="FormatP13 2 6" xfId="1867"/>
    <cellStyle name="FormatP13 2 7" xfId="1868"/>
    <cellStyle name="FormatP13 2 8" xfId="1869"/>
    <cellStyle name="FormatP13 2 9" xfId="1870"/>
    <cellStyle name="FormatP13 3" xfId="1871"/>
    <cellStyle name="FormatP13 3 2" xfId="1872"/>
    <cellStyle name="FormatP13 3 2 2" xfId="3615"/>
    <cellStyle name="FormatP13 3 2 3" xfId="3754"/>
    <cellStyle name="FormatP13 3 3" xfId="1873"/>
    <cellStyle name="FormatP13 3 4" xfId="3674"/>
    <cellStyle name="FormatP13 4" xfId="1874"/>
    <cellStyle name="FormatP13 4 2" xfId="1875"/>
    <cellStyle name="FormatP13 4 2 2" xfId="3616"/>
    <cellStyle name="FormatP13 4 2 3" xfId="3755"/>
    <cellStyle name="FormatP13 4 3" xfId="3544"/>
    <cellStyle name="FormatP13 4 4" xfId="3675"/>
    <cellStyle name="FormatP13 5" xfId="3543"/>
    <cellStyle name="FormatP13 6" xfId="3672"/>
    <cellStyle name="Hipervínculo" xfId="6" builtinId="8"/>
    <cellStyle name="Incorrecte 1" xfId="1876"/>
    <cellStyle name="Incorrecte 10" xfId="1877"/>
    <cellStyle name="Incorrecte 11" xfId="1878"/>
    <cellStyle name="Incorrecte 12" xfId="1879"/>
    <cellStyle name="Incorrecte 13" xfId="1880"/>
    <cellStyle name="Incorrecte 14" xfId="1881"/>
    <cellStyle name="Incorrecte 15" xfId="1882"/>
    <cellStyle name="Incorrecte 16" xfId="1883"/>
    <cellStyle name="Incorrecte 17" xfId="1884"/>
    <cellStyle name="Incorrecte 18" xfId="1885"/>
    <cellStyle name="Incorrecte 19" xfId="1886"/>
    <cellStyle name="Incorrecte 2" xfId="1887"/>
    <cellStyle name="Incorrecte 2 2" xfId="1888"/>
    <cellStyle name="Incorrecte 20" xfId="1889"/>
    <cellStyle name="Incorrecte 21" xfId="1890"/>
    <cellStyle name="Incorrecte 22" xfId="1891"/>
    <cellStyle name="Incorrecte 23" xfId="1892"/>
    <cellStyle name="Incorrecte 24" xfId="1893"/>
    <cellStyle name="Incorrecte 25" xfId="1894"/>
    <cellStyle name="Incorrecte 26" xfId="1895"/>
    <cellStyle name="Incorrecte 27" xfId="1896"/>
    <cellStyle name="Incorrecte 28" xfId="1897"/>
    <cellStyle name="Incorrecte 29" xfId="1898"/>
    <cellStyle name="Incorrecte 3" xfId="1899"/>
    <cellStyle name="Incorrecte 30" xfId="1900"/>
    <cellStyle name="Incorrecte 31" xfId="1901"/>
    <cellStyle name="Incorrecte 32" xfId="1902"/>
    <cellStyle name="Incorrecte 33" xfId="1903"/>
    <cellStyle name="Incorrecte 34" xfId="1904"/>
    <cellStyle name="Incorrecte 35" xfId="1905"/>
    <cellStyle name="Incorrecte 36" xfId="1906"/>
    <cellStyle name="Incorrecte 37" xfId="1907"/>
    <cellStyle name="Incorrecte 38" xfId="1908"/>
    <cellStyle name="Incorrecte 39" xfId="1909"/>
    <cellStyle name="Incorrecte 4" xfId="1910"/>
    <cellStyle name="Incorrecte 40" xfId="1911"/>
    <cellStyle name="Incorrecte 41" xfId="1912"/>
    <cellStyle name="Incorrecte 5" xfId="1913"/>
    <cellStyle name="Incorrecte 6" xfId="1914"/>
    <cellStyle name="Incorrecte 7" xfId="1915"/>
    <cellStyle name="Incorrecte 8" xfId="1916"/>
    <cellStyle name="Incorrecte 9" xfId="1917"/>
    <cellStyle name="Incorrecto" xfId="5" builtinId="27"/>
    <cellStyle name="Milers 2" xfId="1918"/>
    <cellStyle name="Milers 2 2" xfId="1919"/>
    <cellStyle name="Milers 2 3" xfId="1920"/>
    <cellStyle name="Milers 2 4" xfId="1921"/>
    <cellStyle name="Milers 3" xfId="1922"/>
    <cellStyle name="Milers 3 2" xfId="1923"/>
    <cellStyle name="Milers 4" xfId="1924"/>
    <cellStyle name="Milers 6" xfId="1925"/>
    <cellStyle name="Millares" xfId="1" builtinId="3"/>
    <cellStyle name="Millares 2" xfId="1926"/>
    <cellStyle name="Millares 2 2" xfId="7"/>
    <cellStyle name="Millares 2 2 2" xfId="3779"/>
    <cellStyle name="Moneda" xfId="2" builtinId="4"/>
    <cellStyle name="Moneda 10" xfId="1927"/>
    <cellStyle name="Moneda 2" xfId="1928"/>
    <cellStyle name="Moneda 2 2" xfId="1929"/>
    <cellStyle name="Moneda 2 3" xfId="1930"/>
    <cellStyle name="Moneda 3" xfId="1931"/>
    <cellStyle name="Moneda 3 2" xfId="1932"/>
    <cellStyle name="Moneda 3 3" xfId="1933"/>
    <cellStyle name="Moneda 3 4" xfId="3454"/>
    <cellStyle name="Moneda 4" xfId="1934"/>
    <cellStyle name="Moneda 4 2" xfId="1935"/>
    <cellStyle name="Moneda 4 3" xfId="1936"/>
    <cellStyle name="Moneda 5" xfId="1937"/>
    <cellStyle name="Moneda 5 2" xfId="1938"/>
    <cellStyle name="Moneda 5 3" xfId="1939"/>
    <cellStyle name="Moneda 6" xfId="1940"/>
    <cellStyle name="Moneda 7" xfId="1941"/>
    <cellStyle name="Moneda 8" xfId="1942"/>
    <cellStyle name="Moneda 9" xfId="1943"/>
    <cellStyle name="Neutral 1" xfId="1944"/>
    <cellStyle name="Neutral 10" xfId="1945"/>
    <cellStyle name="Neutral 11" xfId="1946"/>
    <cellStyle name="Neutral 12" xfId="1947"/>
    <cellStyle name="Neutral 13" xfId="1948"/>
    <cellStyle name="Neutral 14" xfId="1949"/>
    <cellStyle name="Neutral 15" xfId="1950"/>
    <cellStyle name="Neutral 16" xfId="1951"/>
    <cellStyle name="Neutral 17" xfId="1952"/>
    <cellStyle name="Neutral 18" xfId="1953"/>
    <cellStyle name="Neutral 19" xfId="1954"/>
    <cellStyle name="Neutral 2" xfId="1955"/>
    <cellStyle name="Neutral 2 2" xfId="1956"/>
    <cellStyle name="Neutral 2 3" xfId="3388"/>
    <cellStyle name="Neutral 20" xfId="1957"/>
    <cellStyle name="Neutral 21" xfId="1958"/>
    <cellStyle name="Neutral 22" xfId="1959"/>
    <cellStyle name="Neutral 23" xfId="1960"/>
    <cellStyle name="Neutral 24" xfId="1961"/>
    <cellStyle name="Neutral 25" xfId="1962"/>
    <cellStyle name="Neutral 26" xfId="1963"/>
    <cellStyle name="Neutral 27" xfId="1964"/>
    <cellStyle name="Neutral 28" xfId="1965"/>
    <cellStyle name="Neutral 29" xfId="1966"/>
    <cellStyle name="Neutral 3" xfId="1967"/>
    <cellStyle name="Neutral 30" xfId="1968"/>
    <cellStyle name="Neutral 31" xfId="1969"/>
    <cellStyle name="Neutral 32" xfId="1970"/>
    <cellStyle name="Neutral 33" xfId="1971"/>
    <cellStyle name="Neutral 34" xfId="1972"/>
    <cellStyle name="Neutral 35" xfId="1973"/>
    <cellStyle name="Neutral 36" xfId="1974"/>
    <cellStyle name="Neutral 37" xfId="1975"/>
    <cellStyle name="Neutral 38" xfId="1976"/>
    <cellStyle name="Neutral 39" xfId="1977"/>
    <cellStyle name="Neutral 4" xfId="1978"/>
    <cellStyle name="Neutral 40" xfId="1979"/>
    <cellStyle name="Neutral 41" xfId="1980"/>
    <cellStyle name="Neutral 5" xfId="1981"/>
    <cellStyle name="Neutral 6" xfId="1982"/>
    <cellStyle name="Neutral 7" xfId="1983"/>
    <cellStyle name="Neutral 8" xfId="1984"/>
    <cellStyle name="Neutral 9" xfId="1985"/>
    <cellStyle name="Normal" xfId="0" builtinId="0"/>
    <cellStyle name="Normal - Style1" xfId="1986"/>
    <cellStyle name="Normal 10" xfId="1987"/>
    <cellStyle name="Normal 10 2" xfId="1988"/>
    <cellStyle name="Normal 10 2 2" xfId="1989"/>
    <cellStyle name="Normal 10 2 2 2" xfId="1990"/>
    <cellStyle name="Normal 10 2 2 3" xfId="1991"/>
    <cellStyle name="Normal 10 2 3" xfId="1992"/>
    <cellStyle name="Normal 10 2 4" xfId="1993"/>
    <cellStyle name="Normal 10 2 5" xfId="3545"/>
    <cellStyle name="Normal 10 3" xfId="1994"/>
    <cellStyle name="Normal 10 3 2" xfId="3676"/>
    <cellStyle name="Normal 10 4" xfId="1995"/>
    <cellStyle name="Normal 10 4 2" xfId="1996"/>
    <cellStyle name="Normal 10 4 3" xfId="1997"/>
    <cellStyle name="Normal 10 5" xfId="1998"/>
    <cellStyle name="Normal 10 6" xfId="1999"/>
    <cellStyle name="Normal 10 7" xfId="3456"/>
    <cellStyle name="Normal 11" xfId="2000"/>
    <cellStyle name="Normal 11 2" xfId="2001"/>
    <cellStyle name="Normal 11 2 2" xfId="2002"/>
    <cellStyle name="Normal 11 2 2 2" xfId="2003"/>
    <cellStyle name="Normal 11 2 2 3" xfId="2004"/>
    <cellStyle name="Normal 11 2 3" xfId="2005"/>
    <cellStyle name="Normal 11 2 4" xfId="2006"/>
    <cellStyle name="Normal 11 2 5" xfId="3546"/>
    <cellStyle name="Normal 11 3" xfId="2007"/>
    <cellStyle name="Normal 11 3 2" xfId="3677"/>
    <cellStyle name="Normal 11 4" xfId="2008"/>
    <cellStyle name="Normal 11 4 2" xfId="2009"/>
    <cellStyle name="Normal 11 4 3" xfId="2010"/>
    <cellStyle name="Normal 11 5" xfId="2011"/>
    <cellStyle name="Normal 11 6" xfId="2012"/>
    <cellStyle name="Normal 11 7" xfId="3457"/>
    <cellStyle name="Normal 12" xfId="2013"/>
    <cellStyle name="Normal 12 2" xfId="2014"/>
    <cellStyle name="Normal 12 2 2" xfId="2015"/>
    <cellStyle name="Normal 12 2 2 2" xfId="2016"/>
    <cellStyle name="Normal 12 2 2 3" xfId="2017"/>
    <cellStyle name="Normal 12 2 3" xfId="2018"/>
    <cellStyle name="Normal 12 2 4" xfId="2019"/>
    <cellStyle name="Normal 12 3" xfId="2020"/>
    <cellStyle name="Normal 12 4" xfId="2021"/>
    <cellStyle name="Normal 12 4 2" xfId="2022"/>
    <cellStyle name="Normal 12 4 3" xfId="2023"/>
    <cellStyle name="Normal 12 5" xfId="2024"/>
    <cellStyle name="Normal 12 6" xfId="2025"/>
    <cellStyle name="Normal 13" xfId="2026"/>
    <cellStyle name="Normal 13 2" xfId="2027"/>
    <cellStyle name="Normal 13 2 2" xfId="2028"/>
    <cellStyle name="Normal 13 2 2 2" xfId="2029"/>
    <cellStyle name="Normal 13 2 2 3" xfId="2030"/>
    <cellStyle name="Normal 13 2 3" xfId="2031"/>
    <cellStyle name="Normal 13 2 4" xfId="2032"/>
    <cellStyle name="Normal 13 3" xfId="2033"/>
    <cellStyle name="Normal 13 4" xfId="2034"/>
    <cellStyle name="Normal 13 4 2" xfId="2035"/>
    <cellStyle name="Normal 13 4 3" xfId="2036"/>
    <cellStyle name="Normal 13 5" xfId="2037"/>
    <cellStyle name="Normal 13 6" xfId="2038"/>
    <cellStyle name="Normal 14" xfId="2039"/>
    <cellStyle name="Normal 14 2" xfId="2040"/>
    <cellStyle name="Normal 14 2 2" xfId="2041"/>
    <cellStyle name="Normal 14 2 2 2" xfId="2042"/>
    <cellStyle name="Normal 14 2 2 3" xfId="2043"/>
    <cellStyle name="Normal 14 2 3" xfId="2044"/>
    <cellStyle name="Normal 14 2 4" xfId="2045"/>
    <cellStyle name="Normal 14 2 5" xfId="3547"/>
    <cellStyle name="Normal 14 3" xfId="2046"/>
    <cellStyle name="Normal 14 3 2" xfId="3678"/>
    <cellStyle name="Normal 14 4" xfId="2047"/>
    <cellStyle name="Normal 14 4 2" xfId="2048"/>
    <cellStyle name="Normal 14 4 3" xfId="2049"/>
    <cellStyle name="Normal 14 5" xfId="2050"/>
    <cellStyle name="Normal 14 6" xfId="2051"/>
    <cellStyle name="Normal 14 7" xfId="3458"/>
    <cellStyle name="Normal 15" xfId="2052"/>
    <cellStyle name="Normal 15 2" xfId="2053"/>
    <cellStyle name="Normal 15 2 2" xfId="2054"/>
    <cellStyle name="Normal 15 2 2 2" xfId="2055"/>
    <cellStyle name="Normal 15 2 2 3" xfId="2056"/>
    <cellStyle name="Normal 15 2 3" xfId="2057"/>
    <cellStyle name="Normal 15 2 4" xfId="2058"/>
    <cellStyle name="Normal 15 2 5" xfId="3548"/>
    <cellStyle name="Normal 15 3" xfId="2059"/>
    <cellStyle name="Normal 15 3 2" xfId="3679"/>
    <cellStyle name="Normal 15 4" xfId="2060"/>
    <cellStyle name="Normal 15 4 2" xfId="2061"/>
    <cellStyle name="Normal 15 4 3" xfId="2062"/>
    <cellStyle name="Normal 15 5" xfId="2063"/>
    <cellStyle name="Normal 15 6" xfId="2064"/>
    <cellStyle name="Normal 15 7" xfId="3459"/>
    <cellStyle name="Normal 16" xfId="2065"/>
    <cellStyle name="Normal 16 2" xfId="2066"/>
    <cellStyle name="Normal 17" xfId="2067"/>
    <cellStyle name="Normal 17 2" xfId="2068"/>
    <cellStyle name="Normal 17 2 2" xfId="3510"/>
    <cellStyle name="Normal 17 2 2 2" xfId="3629"/>
    <cellStyle name="Normal 17 2 2 3" xfId="3769"/>
    <cellStyle name="Normal 17 2 3" xfId="3617"/>
    <cellStyle name="Normal 17 2 4" xfId="3756"/>
    <cellStyle name="Normal 17 2 5" xfId="3508"/>
    <cellStyle name="Normal 17 3" xfId="3509"/>
    <cellStyle name="Normal 17 3 2" xfId="3627"/>
    <cellStyle name="Normal 17 3 3" xfId="3767"/>
    <cellStyle name="Normal 17 4" xfId="3549"/>
    <cellStyle name="Normal 17 5" xfId="3680"/>
    <cellStyle name="Normal 17 6" xfId="3460"/>
    <cellStyle name="Normal 18" xfId="2069"/>
    <cellStyle name="Normal 18 2" xfId="2070"/>
    <cellStyle name="Normal 18 2 2" xfId="2071"/>
    <cellStyle name="Normal 18 2 3" xfId="2072"/>
    <cellStyle name="Normal 18 2 4" xfId="3550"/>
    <cellStyle name="Normal 18 3" xfId="2073"/>
    <cellStyle name="Normal 18 3 2" xfId="3681"/>
    <cellStyle name="Normal 18 4" xfId="2074"/>
    <cellStyle name="Normal 18 5" xfId="3461"/>
    <cellStyle name="Normal 19" xfId="2075"/>
    <cellStyle name="Normal 19 2" xfId="2076"/>
    <cellStyle name="Normal 19 2 2" xfId="2077"/>
    <cellStyle name="Normal 19 2 2 2" xfId="2078"/>
    <cellStyle name="Normal 19 2 2 3" xfId="2079"/>
    <cellStyle name="Normal 19 2 3" xfId="2080"/>
    <cellStyle name="Normal 19 2 4" xfId="2081"/>
    <cellStyle name="Normal 19 2 5" xfId="3551"/>
    <cellStyle name="Normal 19 3" xfId="2082"/>
    <cellStyle name="Normal 19 3 2" xfId="2083"/>
    <cellStyle name="Normal 19 3 2 2" xfId="2084"/>
    <cellStyle name="Normal 19 3 2 3" xfId="2085"/>
    <cellStyle name="Normal 19 3 3" xfId="2086"/>
    <cellStyle name="Normal 19 3 4" xfId="2087"/>
    <cellStyle name="Normal 19 3 5" xfId="3682"/>
    <cellStyle name="Normal 19 4" xfId="2088"/>
    <cellStyle name="Normal 19 4 2" xfId="2089"/>
    <cellStyle name="Normal 19 4 3" xfId="2090"/>
    <cellStyle name="Normal 19 5" xfId="2091"/>
    <cellStyle name="Normal 19 6" xfId="2092"/>
    <cellStyle name="Normal 19 7" xfId="3462"/>
    <cellStyle name="Normal 2" xfId="8"/>
    <cellStyle name="Normal 2 10" xfId="3389"/>
    <cellStyle name="Normal 2 11" xfId="3455"/>
    <cellStyle name="Normal 2 2" xfId="2093"/>
    <cellStyle name="Normal 2 2 2" xfId="2094"/>
    <cellStyle name="Normal 2 2 2 2" xfId="2095"/>
    <cellStyle name="Normal 2 2 2 2 2" xfId="2096"/>
    <cellStyle name="Normal 2 2 2 2 3" xfId="2097"/>
    <cellStyle name="Normal 2 2 2 3" xfId="3742"/>
    <cellStyle name="Normal 2 2 3" xfId="2098"/>
    <cellStyle name="Normal 2 2 4" xfId="2099"/>
    <cellStyle name="Normal 2 2 4 2" xfId="2100"/>
    <cellStyle name="Normal 2 2 4 2 2" xfId="2101"/>
    <cellStyle name="Normal 2 2 4 2 3" xfId="2102"/>
    <cellStyle name="Normal 2 2 4 3" xfId="2103"/>
    <cellStyle name="Normal 2 2 4 4" xfId="2104"/>
    <cellStyle name="Normal 2 2 4 5" xfId="3684"/>
    <cellStyle name="Normal 2 2 5" xfId="3390"/>
    <cellStyle name="Normal 2 3" xfId="2105"/>
    <cellStyle name="Normal 2 3 2" xfId="2106"/>
    <cellStyle name="Normal 2 3 2 2" xfId="2107"/>
    <cellStyle name="Normal 2 3 2 2 2" xfId="2108"/>
    <cellStyle name="Normal 2 3 2 2 3" xfId="2109"/>
    <cellStyle name="Normal 2 3 2 3" xfId="2110"/>
    <cellStyle name="Normal 2 3 2 3 2" xfId="3770"/>
    <cellStyle name="Normal 2 3 2 4" xfId="2111"/>
    <cellStyle name="Normal 2 3 3" xfId="2112"/>
    <cellStyle name="Normal 2 3 3 2" xfId="2113"/>
    <cellStyle name="Normal 2 3 3 2 2" xfId="2114"/>
    <cellStyle name="Normal 2 3 3 2 3" xfId="2115"/>
    <cellStyle name="Normal 2 3 3 3" xfId="2116"/>
    <cellStyle name="Normal 2 3 3 4" xfId="2117"/>
    <cellStyle name="Normal 2 3 4" xfId="3757"/>
    <cellStyle name="Normal 2 4" xfId="2118"/>
    <cellStyle name="Normal 2 4 2" xfId="2119"/>
    <cellStyle name="Normal 2 4 2 2" xfId="3628"/>
    <cellStyle name="Normal 2 4 3" xfId="2120"/>
    <cellStyle name="Normal 2 4 3 2" xfId="3768"/>
    <cellStyle name="Normal 2 4 4" xfId="2121"/>
    <cellStyle name="Normal 2 4 4 2" xfId="2122"/>
    <cellStyle name="Normal 2 4 4 3" xfId="2123"/>
    <cellStyle name="Normal 2 4 5" xfId="2124"/>
    <cellStyle name="Normal 2 4 6" xfId="2125"/>
    <cellStyle name="Normal 2 5" xfId="2126"/>
    <cellStyle name="Normal 2 5 2" xfId="2127"/>
    <cellStyle name="Normal 2 5 3" xfId="3463"/>
    <cellStyle name="Normal 2 6" xfId="2128"/>
    <cellStyle name="Normal 2 6 2" xfId="2129"/>
    <cellStyle name="Normal 2 6 3" xfId="3552"/>
    <cellStyle name="Normal 2 7" xfId="2130"/>
    <cellStyle name="Normal 2 7 2" xfId="2131"/>
    <cellStyle name="Normal 2 7 3" xfId="2132"/>
    <cellStyle name="Normal 2 7 4" xfId="3683"/>
    <cellStyle name="Normal 2 8" xfId="2133"/>
    <cellStyle name="Normal 2 9" xfId="2134"/>
    <cellStyle name="Normal 20" xfId="2135"/>
    <cellStyle name="Normal 20 2" xfId="3610"/>
    <cellStyle name="Normal 21" xfId="2136"/>
    <cellStyle name="Normal 21 2" xfId="2137"/>
    <cellStyle name="Normal 21 2 2" xfId="2138"/>
    <cellStyle name="Normal 21 2 2 2" xfId="2139"/>
    <cellStyle name="Normal 21 2 2 3" xfId="2140"/>
    <cellStyle name="Normal 21 2 3" xfId="2141"/>
    <cellStyle name="Normal 21 2 4" xfId="2142"/>
    <cellStyle name="Normal 21 3" xfId="2143"/>
    <cellStyle name="Normal 21 3 2" xfId="2144"/>
    <cellStyle name="Normal 21 3 3" xfId="2145"/>
    <cellStyle name="Normal 21 4" xfId="2146"/>
    <cellStyle name="Normal 21 5" xfId="2147"/>
    <cellStyle name="Normal 22" xfId="2148"/>
    <cellStyle name="Normal 22 2" xfId="2149"/>
    <cellStyle name="Normal 22 2 2" xfId="2150"/>
    <cellStyle name="Normal 22 2 2 2" xfId="2151"/>
    <cellStyle name="Normal 22 2 2 3" xfId="2152"/>
    <cellStyle name="Normal 22 2 3" xfId="2153"/>
    <cellStyle name="Normal 22 2 4" xfId="2154"/>
    <cellStyle name="Normal 22 2 5" xfId="3553"/>
    <cellStyle name="Normal 22 3" xfId="2155"/>
    <cellStyle name="Normal 22 3 2" xfId="2156"/>
    <cellStyle name="Normal 22 3 3" xfId="2157"/>
    <cellStyle name="Normal 22 3 4" xfId="3685"/>
    <cellStyle name="Normal 22 4" xfId="2158"/>
    <cellStyle name="Normal 22 5" xfId="2159"/>
    <cellStyle name="Normal 22 6" xfId="3464"/>
    <cellStyle name="Normal 23" xfId="2160"/>
    <cellStyle name="Normal 23 2" xfId="3554"/>
    <cellStyle name="Normal 23 3" xfId="3686"/>
    <cellStyle name="Normal 23 4" xfId="3465"/>
    <cellStyle name="Normal 24" xfId="2161"/>
    <cellStyle name="Normal 24 2" xfId="2162"/>
    <cellStyle name="Normal 24 2 2" xfId="2163"/>
    <cellStyle name="Normal 24 2 2 2" xfId="2164"/>
    <cellStyle name="Normal 24 2 2 3" xfId="2165"/>
    <cellStyle name="Normal 24 2 3" xfId="2166"/>
    <cellStyle name="Normal 24 2 4" xfId="2167"/>
    <cellStyle name="Normal 24 3" xfId="2168"/>
    <cellStyle name="Normal 24 3 2" xfId="2169"/>
    <cellStyle name="Normal 24 3 3" xfId="2170"/>
    <cellStyle name="Normal 24 4" xfId="2171"/>
    <cellStyle name="Normal 24 5" xfId="2172"/>
    <cellStyle name="Normal 25" xfId="2173"/>
    <cellStyle name="Normal 25 2" xfId="2174"/>
    <cellStyle name="Normal 25 2 2" xfId="2175"/>
    <cellStyle name="Normal 25 2 2 2" xfId="2176"/>
    <cellStyle name="Normal 25 2 2 3" xfId="2177"/>
    <cellStyle name="Normal 25 2 3" xfId="2178"/>
    <cellStyle name="Normal 25 2 4" xfId="2179"/>
    <cellStyle name="Normal 25 3" xfId="2180"/>
    <cellStyle name="Normal 25 3 2" xfId="2181"/>
    <cellStyle name="Normal 25 3 3" xfId="2182"/>
    <cellStyle name="Normal 25 4" xfId="2183"/>
    <cellStyle name="Normal 25 5" xfId="2184"/>
    <cellStyle name="Normal 26" xfId="2185"/>
    <cellStyle name="Normal 26 2" xfId="2186"/>
    <cellStyle name="Normal 26 2 2" xfId="2187"/>
    <cellStyle name="Normal 26 2 2 2" xfId="2188"/>
    <cellStyle name="Normal 26 2 2 3" xfId="2189"/>
    <cellStyle name="Normal 26 2 3" xfId="2190"/>
    <cellStyle name="Normal 26 2 4" xfId="2191"/>
    <cellStyle name="Normal 26 2 5" xfId="3555"/>
    <cellStyle name="Normal 26 3" xfId="2192"/>
    <cellStyle name="Normal 26 3 2" xfId="2193"/>
    <cellStyle name="Normal 26 3 3" xfId="2194"/>
    <cellStyle name="Normal 26 3 4" xfId="3687"/>
    <cellStyle name="Normal 26 4" xfId="2195"/>
    <cellStyle name="Normal 26 5" xfId="2196"/>
    <cellStyle name="Normal 26 6" xfId="3466"/>
    <cellStyle name="Normal 27" xfId="2197"/>
    <cellStyle name="Normal 27 2" xfId="2198"/>
    <cellStyle name="Normal 27 2 2" xfId="2199"/>
    <cellStyle name="Normal 27 2 2 2" xfId="2200"/>
    <cellStyle name="Normal 27 2 2 3" xfId="2201"/>
    <cellStyle name="Normal 27 2 3" xfId="2202"/>
    <cellStyle name="Normal 27 2 4" xfId="2203"/>
    <cellStyle name="Normal 27 2 5" xfId="3556"/>
    <cellStyle name="Normal 27 3" xfId="2204"/>
    <cellStyle name="Normal 27 3 2" xfId="2205"/>
    <cellStyle name="Normal 27 3 3" xfId="2206"/>
    <cellStyle name="Normal 27 3 4" xfId="3688"/>
    <cellStyle name="Normal 27 4" xfId="2207"/>
    <cellStyle name="Normal 27 5" xfId="2208"/>
    <cellStyle name="Normal 27 6" xfId="3467"/>
    <cellStyle name="Normal 28" xfId="2209"/>
    <cellStyle name="Normal 28 2" xfId="2210"/>
    <cellStyle name="Normal 28 2 2" xfId="2211"/>
    <cellStyle name="Normal 28 2 2 2" xfId="2212"/>
    <cellStyle name="Normal 28 2 2 3" xfId="2213"/>
    <cellStyle name="Normal 28 2 3" xfId="2214"/>
    <cellStyle name="Normal 28 2 4" xfId="2215"/>
    <cellStyle name="Normal 28 3" xfId="2216"/>
    <cellStyle name="Normal 28 3 2" xfId="2217"/>
    <cellStyle name="Normal 28 3 3" xfId="2218"/>
    <cellStyle name="Normal 28 4" xfId="2219"/>
    <cellStyle name="Normal 28 5" xfId="2220"/>
    <cellStyle name="Normal 28 6" xfId="3630"/>
    <cellStyle name="Normal 29" xfId="2221"/>
    <cellStyle name="Normal 29 2" xfId="2222"/>
    <cellStyle name="Normal 29 2 2" xfId="2223"/>
    <cellStyle name="Normal 29 2 2 2" xfId="2224"/>
    <cellStyle name="Normal 29 2 2 3" xfId="2225"/>
    <cellStyle name="Normal 29 2 3" xfId="2226"/>
    <cellStyle name="Normal 29 2 4" xfId="2227"/>
    <cellStyle name="Normal 29 3" xfId="2228"/>
    <cellStyle name="Normal 29 3 2" xfId="2229"/>
    <cellStyle name="Normal 29 3 3" xfId="2230"/>
    <cellStyle name="Normal 29 4" xfId="2231"/>
    <cellStyle name="Normal 29 5" xfId="2232"/>
    <cellStyle name="Normal 3" xfId="2233"/>
    <cellStyle name="Normal 3 2" xfId="2234"/>
    <cellStyle name="Normal 3 3" xfId="2235"/>
    <cellStyle name="Normal 3 3 2" xfId="2236"/>
    <cellStyle name="Normal 3 3 2 2" xfId="2237"/>
    <cellStyle name="Normal 3 3 2 2 2" xfId="2238"/>
    <cellStyle name="Normal 3 3 2 2 3" xfId="2239"/>
    <cellStyle name="Normal 3 3 2 3" xfId="2240"/>
    <cellStyle name="Normal 3 3 2 4" xfId="2241"/>
    <cellStyle name="Normal 3 3 3" xfId="2242"/>
    <cellStyle name="Normal 3 3 3 2" xfId="2243"/>
    <cellStyle name="Normal 3 3 3 3" xfId="2244"/>
    <cellStyle name="Normal 3 3 4" xfId="2245"/>
    <cellStyle name="Normal 3 3 5" xfId="2246"/>
    <cellStyle name="Normal 3 3 6" xfId="3631"/>
    <cellStyle name="Normal 3 4" xfId="2247"/>
    <cellStyle name="Normal 3 4 2" xfId="2248"/>
    <cellStyle name="Normal 3 4 2 2" xfId="2249"/>
    <cellStyle name="Normal 3 4 2 3" xfId="2250"/>
    <cellStyle name="Normal 3 4 3" xfId="2251"/>
    <cellStyle name="Normal 3 4 4" xfId="2252"/>
    <cellStyle name="Normal 3 5" xfId="2253"/>
    <cellStyle name="Normal 3 5 2" xfId="2254"/>
    <cellStyle name="Normal 3 5 2 2" xfId="2255"/>
    <cellStyle name="Normal 3 5 2 3" xfId="2256"/>
    <cellStyle name="Normal 3 5 3" xfId="2257"/>
    <cellStyle name="Normal 3 5 4" xfId="2258"/>
    <cellStyle name="Normal 3 6" xfId="3391"/>
    <cellStyle name="Normal 30" xfId="2259"/>
    <cellStyle name="Normal 30 2" xfId="2260"/>
    <cellStyle name="Normal 30 2 2" xfId="2261"/>
    <cellStyle name="Normal 30 2 2 2" xfId="2262"/>
    <cellStyle name="Normal 30 2 2 3" xfId="2263"/>
    <cellStyle name="Normal 30 2 3" xfId="2264"/>
    <cellStyle name="Normal 30 2 4" xfId="2265"/>
    <cellStyle name="Normal 30 2 5" xfId="3557"/>
    <cellStyle name="Normal 30 3" xfId="2266"/>
    <cellStyle name="Normal 30 3 2" xfId="2267"/>
    <cellStyle name="Normal 30 3 3" xfId="2268"/>
    <cellStyle name="Normal 30 3 4" xfId="3689"/>
    <cellStyle name="Normal 30 4" xfId="2269"/>
    <cellStyle name="Normal 30 5" xfId="2270"/>
    <cellStyle name="Normal 30 6" xfId="3468"/>
    <cellStyle name="Normal 31" xfId="2271"/>
    <cellStyle name="Normal 31 2" xfId="3558"/>
    <cellStyle name="Normal 31 3" xfId="3690"/>
    <cellStyle name="Normal 31 4" xfId="3469"/>
    <cellStyle name="Normal 32" xfId="2272"/>
    <cellStyle name="Normal 32 2" xfId="3772"/>
    <cellStyle name="Normal 33" xfId="2273"/>
    <cellStyle name="Normal 33 2" xfId="2274"/>
    <cellStyle name="Normal 33 2 2" xfId="2275"/>
    <cellStyle name="Normal 33 2 2 2" xfId="2276"/>
    <cellStyle name="Normal 33 2 2 3" xfId="2277"/>
    <cellStyle name="Normal 33 2 3" xfId="2278"/>
    <cellStyle name="Normal 33 2 4" xfId="2279"/>
    <cellStyle name="Normal 33 3" xfId="2280"/>
    <cellStyle name="Normal 33 3 2" xfId="2281"/>
    <cellStyle name="Normal 33 3 3" xfId="2282"/>
    <cellStyle name="Normal 33 4" xfId="2283"/>
    <cellStyle name="Normal 33 5" xfId="2284"/>
    <cellStyle name="Normal 34" xfId="2285"/>
    <cellStyle name="Normal 34 2" xfId="2286"/>
    <cellStyle name="Normal 34 2 2" xfId="2287"/>
    <cellStyle name="Normal 34 2 2 2" xfId="2288"/>
    <cellStyle name="Normal 34 2 2 3" xfId="2289"/>
    <cellStyle name="Normal 34 2 3" xfId="2290"/>
    <cellStyle name="Normal 34 2 4" xfId="2291"/>
    <cellStyle name="Normal 34 2 5" xfId="3559"/>
    <cellStyle name="Normal 34 3" xfId="2292"/>
    <cellStyle name="Normal 34 3 2" xfId="2293"/>
    <cellStyle name="Normal 34 3 3" xfId="2294"/>
    <cellStyle name="Normal 34 3 4" xfId="3691"/>
    <cellStyle name="Normal 34 4" xfId="2295"/>
    <cellStyle name="Normal 34 5" xfId="2296"/>
    <cellStyle name="Normal 34 6" xfId="3470"/>
    <cellStyle name="Normal 35" xfId="2297"/>
    <cellStyle name="Normal 35 2" xfId="2298"/>
    <cellStyle name="Normal 35 2 2" xfId="2299"/>
    <cellStyle name="Normal 35 2 2 2" xfId="2300"/>
    <cellStyle name="Normal 35 2 2 3" xfId="2301"/>
    <cellStyle name="Normal 35 2 3" xfId="2302"/>
    <cellStyle name="Normal 35 2 4" xfId="2303"/>
    <cellStyle name="Normal 35 2 5" xfId="3560"/>
    <cellStyle name="Normal 35 3" xfId="2304"/>
    <cellStyle name="Normal 35 3 2" xfId="2305"/>
    <cellStyle name="Normal 35 3 3" xfId="2306"/>
    <cellStyle name="Normal 35 3 4" xfId="3692"/>
    <cellStyle name="Normal 35 4" xfId="2307"/>
    <cellStyle name="Normal 35 5" xfId="2308"/>
    <cellStyle name="Normal 35 6" xfId="3471"/>
    <cellStyle name="Normal 36" xfId="2309"/>
    <cellStyle name="Normal 36 2" xfId="2310"/>
    <cellStyle name="Normal 36 2 2" xfId="2311"/>
    <cellStyle name="Normal 36 2 2 2" xfId="2312"/>
    <cellStyle name="Normal 36 2 2 3" xfId="2313"/>
    <cellStyle name="Normal 36 2 3" xfId="2314"/>
    <cellStyle name="Normal 36 2 4" xfId="2315"/>
    <cellStyle name="Normal 36 3" xfId="2316"/>
    <cellStyle name="Normal 36 3 2" xfId="2317"/>
    <cellStyle name="Normal 36 3 3" xfId="2318"/>
    <cellStyle name="Normal 36 4" xfId="2319"/>
    <cellStyle name="Normal 36 5" xfId="2320"/>
    <cellStyle name="Normal 37" xfId="2321"/>
    <cellStyle name="Normal 37 2" xfId="2322"/>
    <cellStyle name="Normal 37 2 2" xfId="2323"/>
    <cellStyle name="Normal 37 2 2 2" xfId="2324"/>
    <cellStyle name="Normal 37 2 2 3" xfId="2325"/>
    <cellStyle name="Normal 37 2 3" xfId="2326"/>
    <cellStyle name="Normal 37 2 4" xfId="2327"/>
    <cellStyle name="Normal 37 3" xfId="2328"/>
    <cellStyle name="Normal 37 3 2" xfId="2329"/>
    <cellStyle name="Normal 37 3 3" xfId="2330"/>
    <cellStyle name="Normal 37 4" xfId="2331"/>
    <cellStyle name="Normal 37 5" xfId="2332"/>
    <cellStyle name="Normal 38" xfId="2333"/>
    <cellStyle name="Normal 38 2" xfId="3561"/>
    <cellStyle name="Normal 38 3" xfId="3693"/>
    <cellStyle name="Normal 38 4" xfId="3472"/>
    <cellStyle name="Normal 39" xfId="2334"/>
    <cellStyle name="Normal 39 2" xfId="3562"/>
    <cellStyle name="Normal 39 3" xfId="3694"/>
    <cellStyle name="Normal 39 4" xfId="3473"/>
    <cellStyle name="Normal 4" xfId="2335"/>
    <cellStyle name="Normal 4 2" xfId="2336"/>
    <cellStyle name="Normal 4 2 2" xfId="2337"/>
    <cellStyle name="Normal 4 2 3" xfId="2338"/>
    <cellStyle name="Normal 4 2 3 2" xfId="2339"/>
    <cellStyle name="Normal 4 2 3 3" xfId="2340"/>
    <cellStyle name="Normal 4 2 4" xfId="2341"/>
    <cellStyle name="Normal 4 2 5" xfId="2342"/>
    <cellStyle name="Normal 4 3" xfId="2343"/>
    <cellStyle name="Normal 4 3 2" xfId="2344"/>
    <cellStyle name="Normal 4 3 2 2" xfId="2345"/>
    <cellStyle name="Normal 4 3 2 2 2" xfId="2346"/>
    <cellStyle name="Normal 4 3 2 2 3" xfId="2347"/>
    <cellStyle name="Normal 4 3 2 3" xfId="2348"/>
    <cellStyle name="Normal 4 3 2 4" xfId="2349"/>
    <cellStyle name="Normal 4 3 3" xfId="2350"/>
    <cellStyle name="Normal 4 3 3 2" xfId="2351"/>
    <cellStyle name="Normal 4 3 3 3" xfId="2352"/>
    <cellStyle name="Normal 4 3 4" xfId="2353"/>
    <cellStyle name="Normal 4 3 5" xfId="2354"/>
    <cellStyle name="Normal 4 3 6" xfId="3771"/>
    <cellStyle name="Normal 4 4" xfId="2355"/>
    <cellStyle name="Normal 4 4 2" xfId="2356"/>
    <cellStyle name="Normal 4 4 3" xfId="2357"/>
    <cellStyle name="Normal 4 5" xfId="2358"/>
    <cellStyle name="Normal 4 6" xfId="2359"/>
    <cellStyle name="Normal 40" xfId="2360"/>
    <cellStyle name="Normal 41" xfId="2361"/>
    <cellStyle name="Normal 42" xfId="2362"/>
    <cellStyle name="Normal 42 2" xfId="3563"/>
    <cellStyle name="Normal 42 3" xfId="3695"/>
    <cellStyle name="Normal 42 4" xfId="3474"/>
    <cellStyle name="Normal 43" xfId="2363"/>
    <cellStyle name="Normal 43 2" xfId="3564"/>
    <cellStyle name="Normal 43 3" xfId="3696"/>
    <cellStyle name="Normal 43 4" xfId="3475"/>
    <cellStyle name="Normal 44" xfId="2364"/>
    <cellStyle name="Normal 44 2" xfId="3565"/>
    <cellStyle name="Normal 44 3" xfId="3697"/>
    <cellStyle name="Normal 44 4" xfId="3476"/>
    <cellStyle name="Normal 45" xfId="2365"/>
    <cellStyle name="Normal 45 2" xfId="3566"/>
    <cellStyle name="Normal 45 3" xfId="3698"/>
    <cellStyle name="Normal 45 4" xfId="3477"/>
    <cellStyle name="Normal 46" xfId="2366"/>
    <cellStyle name="Normal 47" xfId="2367"/>
    <cellStyle name="Normal 48" xfId="2368"/>
    <cellStyle name="Normal 48 2" xfId="2369"/>
    <cellStyle name="Normal 48 2 2" xfId="3567"/>
    <cellStyle name="Normal 48 3" xfId="2370"/>
    <cellStyle name="Normal 48 3 2" xfId="3699"/>
    <cellStyle name="Normal 48 4" xfId="3478"/>
    <cellStyle name="Normal 49" xfId="2371"/>
    <cellStyle name="Normal 49 2" xfId="2372"/>
    <cellStyle name="Normal 49 2 2" xfId="3568"/>
    <cellStyle name="Normal 49 3" xfId="2373"/>
    <cellStyle name="Normal 49 3 2" xfId="3700"/>
    <cellStyle name="Normal 49 4" xfId="3479"/>
    <cellStyle name="Normal 5" xfId="2374"/>
    <cellStyle name="Normal 5 2" xfId="2375"/>
    <cellStyle name="Normal 5 2 2" xfId="2376"/>
    <cellStyle name="Normal 5 2 2 2" xfId="2377"/>
    <cellStyle name="Normal 5 2 2 2 2" xfId="2378"/>
    <cellStyle name="Normal 5 2 2 2 3" xfId="2379"/>
    <cellStyle name="Normal 5 2 2 3" xfId="2380"/>
    <cellStyle name="Normal 5 2 2 4" xfId="2381"/>
    <cellStyle name="Normal 5 2 3" xfId="2382"/>
    <cellStyle name="Normal 5 2 3 2" xfId="2383"/>
    <cellStyle name="Normal 5 2 3 2 2" xfId="2384"/>
    <cellStyle name="Normal 5 2 3 2 3" xfId="2385"/>
    <cellStyle name="Normal 5 2 3 3" xfId="2386"/>
    <cellStyle name="Normal 5 2 3 4" xfId="2387"/>
    <cellStyle name="Normal 5 2 4" xfId="2388"/>
    <cellStyle name="Normal 5 2 4 2" xfId="2389"/>
    <cellStyle name="Normal 5 2 4 3" xfId="2390"/>
    <cellStyle name="Normal 5 2 5" xfId="2391"/>
    <cellStyle name="Normal 5 2 6" xfId="2392"/>
    <cellStyle name="Normal 5 3" xfId="2393"/>
    <cellStyle name="Normal 5 3 2" xfId="2394"/>
    <cellStyle name="Normal 5 3 2 2" xfId="2395"/>
    <cellStyle name="Normal 5 3 2 3" xfId="2396"/>
    <cellStyle name="Normal 5 3 3" xfId="2397"/>
    <cellStyle name="Normal 5 3 4" xfId="2398"/>
    <cellStyle name="Normal 5 4" xfId="2399"/>
    <cellStyle name="Normal 5 4 2" xfId="2400"/>
    <cellStyle name="Normal 5 4 3" xfId="2401"/>
    <cellStyle name="Normal 5 5" xfId="2402"/>
    <cellStyle name="Normal 5 6" xfId="2403"/>
    <cellStyle name="Normal 50" xfId="2404"/>
    <cellStyle name="Normal 50 2" xfId="2405"/>
    <cellStyle name="Normal 50 3" xfId="2406"/>
    <cellStyle name="Normal 51" xfId="2407"/>
    <cellStyle name="Normal 51 2" xfId="2408"/>
    <cellStyle name="Normal 51 3" xfId="2409"/>
    <cellStyle name="Normal 52" xfId="2410"/>
    <cellStyle name="Normal 52 2" xfId="2411"/>
    <cellStyle name="Normal 52 2 2" xfId="3569"/>
    <cellStyle name="Normal 52 3" xfId="3701"/>
    <cellStyle name="Normal 52 4" xfId="3480"/>
    <cellStyle name="Normal 53" xfId="2412"/>
    <cellStyle name="Normal 53 2" xfId="3570"/>
    <cellStyle name="Normal 53 3" xfId="3702"/>
    <cellStyle name="Normal 53 4" xfId="3481"/>
    <cellStyle name="Normal 54" xfId="2413"/>
    <cellStyle name="Normal 54 2" xfId="3571"/>
    <cellStyle name="Normal 54 3" xfId="3703"/>
    <cellStyle name="Normal 54 4" xfId="3482"/>
    <cellStyle name="Normal 55" xfId="2414"/>
    <cellStyle name="Normal 55 2" xfId="3572"/>
    <cellStyle name="Normal 55 3" xfId="3704"/>
    <cellStyle name="Normal 55 4" xfId="3483"/>
    <cellStyle name="Normal 56" xfId="2415"/>
    <cellStyle name="Normal 56 2" xfId="3573"/>
    <cellStyle name="Normal 56 3" xfId="3705"/>
    <cellStyle name="Normal 56 4" xfId="3484"/>
    <cellStyle name="Normal 57" xfId="2416"/>
    <cellStyle name="Normal 57 2" xfId="3574"/>
    <cellStyle name="Normal 57 3" xfId="3706"/>
    <cellStyle name="Normal 57 4" xfId="3485"/>
    <cellStyle name="Normal 58" xfId="2417"/>
    <cellStyle name="Normal 58 2" xfId="3575"/>
    <cellStyle name="Normal 58 3" xfId="3707"/>
    <cellStyle name="Normal 58 4" xfId="3486"/>
    <cellStyle name="Normal 59" xfId="2418"/>
    <cellStyle name="Normal 59 2" xfId="2419"/>
    <cellStyle name="Normal 59 2 2" xfId="3576"/>
    <cellStyle name="Normal 59 3" xfId="3708"/>
    <cellStyle name="Normal 59 4" xfId="3487"/>
    <cellStyle name="Normal 6" xfId="2420"/>
    <cellStyle name="Normal 6 2" xfId="2421"/>
    <cellStyle name="Normal 6 2 2" xfId="2422"/>
    <cellStyle name="Normal 6 2 2 2" xfId="2423"/>
    <cellStyle name="Normal 6 2 2 3" xfId="2424"/>
    <cellStyle name="Normal 6 2 3" xfId="2425"/>
    <cellStyle name="Normal 6 2 4" xfId="2426"/>
    <cellStyle name="Normal 6 3" xfId="2427"/>
    <cellStyle name="Normal 6 3 2" xfId="2428"/>
    <cellStyle name="Normal 6 3 2 2" xfId="2429"/>
    <cellStyle name="Normal 6 3 2 3" xfId="2430"/>
    <cellStyle name="Normal 6 3 3" xfId="2431"/>
    <cellStyle name="Normal 6 3 4" xfId="2432"/>
    <cellStyle name="Normal 6 4" xfId="2433"/>
    <cellStyle name="Normal 6 4 2" xfId="2434"/>
    <cellStyle name="Normal 6 4 3" xfId="2435"/>
    <cellStyle name="Normal 6 5" xfId="2436"/>
    <cellStyle name="Normal 6 6" xfId="2437"/>
    <cellStyle name="Normal 60" xfId="2438"/>
    <cellStyle name="Normal 60 2" xfId="3577"/>
    <cellStyle name="Normal 60 3" xfId="3709"/>
    <cellStyle name="Normal 60 4" xfId="3488"/>
    <cellStyle name="Normal 61" xfId="2439"/>
    <cellStyle name="Normal 61 2" xfId="3578"/>
    <cellStyle name="Normal 61 3" xfId="3710"/>
    <cellStyle name="Normal 61 4" xfId="3489"/>
    <cellStyle name="Normal 62" xfId="2440"/>
    <cellStyle name="Normal 62 2" xfId="3579"/>
    <cellStyle name="Normal 62 3" xfId="3711"/>
    <cellStyle name="Normal 62 4" xfId="3490"/>
    <cellStyle name="Normal 63" xfId="2441"/>
    <cellStyle name="Normal 63 2" xfId="3580"/>
    <cellStyle name="Normal 63 3" xfId="3712"/>
    <cellStyle name="Normal 63 4" xfId="3491"/>
    <cellStyle name="Normal 64" xfId="2442"/>
    <cellStyle name="Normal 64 2" xfId="3581"/>
    <cellStyle name="Normal 64 3" xfId="3713"/>
    <cellStyle name="Normal 64 4" xfId="3492"/>
    <cellStyle name="Normal 65" xfId="2443"/>
    <cellStyle name="Normal 65 2" xfId="3582"/>
    <cellStyle name="Normal 65 3" xfId="3714"/>
    <cellStyle name="Normal 65 4" xfId="3493"/>
    <cellStyle name="Normal 66" xfId="2444"/>
    <cellStyle name="Normal 66 2" xfId="3583"/>
    <cellStyle name="Normal 66 3" xfId="3715"/>
    <cellStyle name="Normal 66 4" xfId="3494"/>
    <cellStyle name="Normal 67" xfId="2445"/>
    <cellStyle name="Normal 67 2" xfId="3584"/>
    <cellStyle name="Normal 67 3" xfId="3716"/>
    <cellStyle name="Normal 67 4" xfId="3495"/>
    <cellStyle name="Normal 68" xfId="2446"/>
    <cellStyle name="Normal 68 2" xfId="3585"/>
    <cellStyle name="Normal 68 3" xfId="3717"/>
    <cellStyle name="Normal 68 4" xfId="3496"/>
    <cellStyle name="Normal 69" xfId="2447"/>
    <cellStyle name="Normal 69 2" xfId="3586"/>
    <cellStyle name="Normal 69 3" xfId="3718"/>
    <cellStyle name="Normal 69 4" xfId="3497"/>
    <cellStyle name="Normal 7" xfId="2448"/>
    <cellStyle name="Normal 7 2" xfId="2449"/>
    <cellStyle name="Normal 7 2 2" xfId="2450"/>
    <cellStyle name="Normal 7 2 2 2" xfId="2451"/>
    <cellStyle name="Normal 7 2 2 3" xfId="2452"/>
    <cellStyle name="Normal 7 2 3" xfId="2453"/>
    <cellStyle name="Normal 7 2 4" xfId="2454"/>
    <cellStyle name="Normal 7 3" xfId="2455"/>
    <cellStyle name="Normal 7 4" xfId="2456"/>
    <cellStyle name="Normal 7 4 2" xfId="2457"/>
    <cellStyle name="Normal 7 4 3" xfId="2458"/>
    <cellStyle name="Normal 7 5" xfId="2459"/>
    <cellStyle name="Normal 7 6" xfId="2460"/>
    <cellStyle name="Normal 70" xfId="2461"/>
    <cellStyle name="Normal 70 2" xfId="3587"/>
    <cellStyle name="Normal 70 3" xfId="3719"/>
    <cellStyle name="Normal 70 4" xfId="3498"/>
    <cellStyle name="Normal 71" xfId="2462"/>
    <cellStyle name="Normal 71 2" xfId="3588"/>
    <cellStyle name="Normal 71 3" xfId="3720"/>
    <cellStyle name="Normal 71 4" xfId="3499"/>
    <cellStyle name="Normal 72" xfId="2463"/>
    <cellStyle name="Normal 72 2" xfId="3589"/>
    <cellStyle name="Normal 72 3" xfId="3721"/>
    <cellStyle name="Normal 72 4" xfId="3500"/>
    <cellStyle name="Normal 73" xfId="2464"/>
    <cellStyle name="Normal 73 2" xfId="3590"/>
    <cellStyle name="Normal 73 3" xfId="3722"/>
    <cellStyle name="Normal 73 4" xfId="3501"/>
    <cellStyle name="Normal 74" xfId="2465"/>
    <cellStyle name="Normal 74 2" xfId="3591"/>
    <cellStyle name="Normal 74 3" xfId="3723"/>
    <cellStyle name="Normal 74 4" xfId="3502"/>
    <cellStyle name="Normal 75" xfId="3503"/>
    <cellStyle name="Normal 75 2" xfId="3592"/>
    <cellStyle name="Normal 75 3" xfId="3724"/>
    <cellStyle name="Normal 76" xfId="3504"/>
    <cellStyle name="Normal 76 2" xfId="3593"/>
    <cellStyle name="Normal 76 3" xfId="3725"/>
    <cellStyle name="Normal 77" xfId="3505"/>
    <cellStyle name="Normal 77 2" xfId="3594"/>
    <cellStyle name="Normal 77 3" xfId="3726"/>
    <cellStyle name="Normal 78" xfId="3506"/>
    <cellStyle name="Normal 78 2" xfId="3595"/>
    <cellStyle name="Normal 78 3" xfId="3727"/>
    <cellStyle name="Normal 79" xfId="3773"/>
    <cellStyle name="Normal 8" xfId="2466"/>
    <cellStyle name="Normal 8 2" xfId="2467"/>
    <cellStyle name="Normal 8 2 2" xfId="2468"/>
    <cellStyle name="Normal 8 2 2 2" xfId="2469"/>
    <cellStyle name="Normal 8 2 2 3" xfId="2470"/>
    <cellStyle name="Normal 8 2 2 4" xfId="3602"/>
    <cellStyle name="Normal 8 2 3" xfId="2471"/>
    <cellStyle name="Normal 8 2 3 2" xfId="3741"/>
    <cellStyle name="Normal 8 2 4" xfId="2472"/>
    <cellStyle name="Normal 8 2 5" xfId="3507"/>
    <cellStyle name="Normal 8 3" xfId="2473"/>
    <cellStyle name="Normal 8 4" xfId="2474"/>
    <cellStyle name="Normal 8 4 2" xfId="2475"/>
    <cellStyle name="Normal 8 4 3" xfId="2476"/>
    <cellStyle name="Normal 8 4 4" xfId="3728"/>
    <cellStyle name="Normal 8 5" xfId="2477"/>
    <cellStyle name="Normal 8 6" xfId="2478"/>
    <cellStyle name="Normal 80" xfId="3783"/>
    <cellStyle name="Normal 9" xfId="2479"/>
    <cellStyle name="Normal 9 2" xfId="2480"/>
    <cellStyle name="Normal 9 2 2" xfId="2481"/>
    <cellStyle name="Normal 9 2 2 2" xfId="2482"/>
    <cellStyle name="Normal 9 2 2 3" xfId="2483"/>
    <cellStyle name="Normal 9 2 3" xfId="2484"/>
    <cellStyle name="Normal 9 2 4" xfId="2485"/>
    <cellStyle name="Normal 9 3" xfId="2486"/>
    <cellStyle name="Normal 9 4" xfId="2487"/>
    <cellStyle name="Normal 9 4 2" xfId="2488"/>
    <cellStyle name="Normal 9 4 3" xfId="2489"/>
    <cellStyle name="Normal 9 5" xfId="2490"/>
    <cellStyle name="Normal 9 6" xfId="2491"/>
    <cellStyle name="Nota 1" xfId="2492"/>
    <cellStyle name="Nota 10" xfId="2493"/>
    <cellStyle name="Nota 11" xfId="2494"/>
    <cellStyle name="Nota 12" xfId="2495"/>
    <cellStyle name="Nota 13" xfId="2496"/>
    <cellStyle name="Nota 14" xfId="2497"/>
    <cellStyle name="Nota 15" xfId="2498"/>
    <cellStyle name="Nota 16" xfId="2499"/>
    <cellStyle name="Nota 17" xfId="2500"/>
    <cellStyle name="Nota 18" xfId="2501"/>
    <cellStyle name="Nota 19" xfId="2502"/>
    <cellStyle name="Nota 2" xfId="2503"/>
    <cellStyle name="Nota 2 2" xfId="2504"/>
    <cellStyle name="Nota 2 2 2" xfId="2505"/>
    <cellStyle name="Nota 2 2 2 2" xfId="2506"/>
    <cellStyle name="Nota 2 2 2 3" xfId="2507"/>
    <cellStyle name="Nota 2 2 3" xfId="2508"/>
    <cellStyle name="Nota 2 2 4" xfId="2509"/>
    <cellStyle name="Nota 20" xfId="2510"/>
    <cellStyle name="Nota 21" xfId="2511"/>
    <cellStyle name="Nota 22" xfId="2512"/>
    <cellStyle name="Nota 23" xfId="2513"/>
    <cellStyle name="Nota 24" xfId="2514"/>
    <cellStyle name="Nota 25" xfId="2515"/>
    <cellStyle name="Nota 26" xfId="2516"/>
    <cellStyle name="Nota 27" xfId="2517"/>
    <cellStyle name="Nota 28" xfId="2518"/>
    <cellStyle name="Nota 29" xfId="2519"/>
    <cellStyle name="Nota 3" xfId="2520"/>
    <cellStyle name="Nota 3 2" xfId="2521"/>
    <cellStyle name="Nota 30" xfId="2522"/>
    <cellStyle name="Nota 31" xfId="2523"/>
    <cellStyle name="Nota 32" xfId="2524"/>
    <cellStyle name="Nota 33" xfId="2525"/>
    <cellStyle name="Nota 34" xfId="2526"/>
    <cellStyle name="Nota 35" xfId="2527"/>
    <cellStyle name="Nota 36" xfId="2528"/>
    <cellStyle name="Nota 37" xfId="2529"/>
    <cellStyle name="Nota 38" xfId="2530"/>
    <cellStyle name="Nota 39" xfId="2531"/>
    <cellStyle name="Nota 4" xfId="2532"/>
    <cellStyle name="Nota 40" xfId="2533"/>
    <cellStyle name="Nota 41" xfId="2534"/>
    <cellStyle name="Nota 5" xfId="2535"/>
    <cellStyle name="Nota 6" xfId="2536"/>
    <cellStyle name="Nota 7" xfId="2537"/>
    <cellStyle name="Nota 8" xfId="2538"/>
    <cellStyle name="Nota 9" xfId="2539"/>
    <cellStyle name="Notas 10" xfId="2540"/>
    <cellStyle name="Notas 10 2" xfId="3392"/>
    <cellStyle name="Notas 11" xfId="2541"/>
    <cellStyle name="Notas 11 2" xfId="3393"/>
    <cellStyle name="Notas 2" xfId="2542"/>
    <cellStyle name="Notas 2 2" xfId="3394"/>
    <cellStyle name="Notas 3" xfId="2543"/>
    <cellStyle name="Notas 3 2" xfId="3395"/>
    <cellStyle name="Notas 4" xfId="2544"/>
    <cellStyle name="Notas 4 2" xfId="3396"/>
    <cellStyle name="Notas 5" xfId="2545"/>
    <cellStyle name="Notas 5 2" xfId="3397"/>
    <cellStyle name="Notas 6" xfId="2546"/>
    <cellStyle name="Notas 6 2" xfId="3398"/>
    <cellStyle name="Notas 7" xfId="2547"/>
    <cellStyle name="Notas 7 2" xfId="3399"/>
    <cellStyle name="Notas 8" xfId="2548"/>
    <cellStyle name="Notas 8 2" xfId="3400"/>
    <cellStyle name="Notas 9" xfId="2549"/>
    <cellStyle name="Notas 9 2" xfId="3401"/>
    <cellStyle name="Percentatge 2" xfId="2550"/>
    <cellStyle name="Percentatge 3" xfId="2551"/>
    <cellStyle name="Percentual 10" xfId="2552"/>
    <cellStyle name="Percentual 11" xfId="2553"/>
    <cellStyle name="Percentual 12" xfId="2554"/>
    <cellStyle name="Percentual 2" xfId="2555"/>
    <cellStyle name="Percentual 2 2" xfId="2556"/>
    <cellStyle name="Percentual 2 3" xfId="2557"/>
    <cellStyle name="Percentual 2 3 2" xfId="2558"/>
    <cellStyle name="Percentual 2 3 2 2" xfId="2559"/>
    <cellStyle name="Percentual 2 3 2 2 2" xfId="2560"/>
    <cellStyle name="Percentual 2 3 2 2 3" xfId="2561"/>
    <cellStyle name="Percentual 2 3 2 3" xfId="2562"/>
    <cellStyle name="Percentual 2 3 2 4" xfId="2563"/>
    <cellStyle name="Percentual 3" xfId="2564"/>
    <cellStyle name="Percentual 3 2" xfId="2565"/>
    <cellStyle name="Percentual 3 3" xfId="2566"/>
    <cellStyle name="Percentual 3 4" xfId="2567"/>
    <cellStyle name="Percentual 3 5" xfId="2568"/>
    <cellStyle name="Percentual 4" xfId="2569"/>
    <cellStyle name="Percentual 4 2" xfId="2570"/>
    <cellStyle name="Percentual 5" xfId="2571"/>
    <cellStyle name="Percentual 6" xfId="2572"/>
    <cellStyle name="Percentual 6 2" xfId="2573"/>
    <cellStyle name="Percentual 7" xfId="2574"/>
    <cellStyle name="Percentual 8" xfId="2575"/>
    <cellStyle name="Percentual 8 2" xfId="2576"/>
    <cellStyle name="Percentual 8 3" xfId="2577"/>
    <cellStyle name="Percentual 9" xfId="2578"/>
    <cellStyle name="Resultat 1" xfId="2579"/>
    <cellStyle name="Resultat 10" xfId="2580"/>
    <cellStyle name="Resultat 11" xfId="2581"/>
    <cellStyle name="Resultat 12" xfId="2582"/>
    <cellStyle name="Resultat 13" xfId="2583"/>
    <cellStyle name="Resultat 14" xfId="2584"/>
    <cellStyle name="Resultat 15" xfId="2585"/>
    <cellStyle name="Resultat 16" xfId="2586"/>
    <cellStyle name="Resultat 17" xfId="2587"/>
    <cellStyle name="Resultat 18" xfId="2588"/>
    <cellStyle name="Resultat 19" xfId="2589"/>
    <cellStyle name="Resultat 2" xfId="2590"/>
    <cellStyle name="Resultat 2 2" xfId="2591"/>
    <cellStyle name="Resultat 20" xfId="2592"/>
    <cellStyle name="Resultat 21" xfId="2593"/>
    <cellStyle name="Resultat 22" xfId="2594"/>
    <cellStyle name="Resultat 23" xfId="2595"/>
    <cellStyle name="Resultat 24" xfId="2596"/>
    <cellStyle name="Resultat 25" xfId="2597"/>
    <cellStyle name="Resultat 26" xfId="2598"/>
    <cellStyle name="Resultat 27" xfId="2599"/>
    <cellStyle name="Resultat 28" xfId="2600"/>
    <cellStyle name="Resultat 29" xfId="2601"/>
    <cellStyle name="Resultat 3" xfId="2602"/>
    <cellStyle name="Resultat 30" xfId="2603"/>
    <cellStyle name="Resultat 31" xfId="2604"/>
    <cellStyle name="Resultat 32" xfId="2605"/>
    <cellStyle name="Resultat 33" xfId="2606"/>
    <cellStyle name="Resultat 34" xfId="2607"/>
    <cellStyle name="Resultat 35" xfId="2608"/>
    <cellStyle name="Resultat 36" xfId="2609"/>
    <cellStyle name="Resultat 37" xfId="2610"/>
    <cellStyle name="Resultat 38" xfId="2611"/>
    <cellStyle name="Resultat 39" xfId="2612"/>
    <cellStyle name="Resultat 4" xfId="2613"/>
    <cellStyle name="Resultat 40" xfId="2614"/>
    <cellStyle name="Resultat 41" xfId="2615"/>
    <cellStyle name="Resultat 5" xfId="2616"/>
    <cellStyle name="Resultat 6" xfId="2617"/>
    <cellStyle name="Resultat 7" xfId="2618"/>
    <cellStyle name="Resultat 8" xfId="2619"/>
    <cellStyle name="Resultat 9" xfId="2620"/>
    <cellStyle name="Resultat del DataPilot" xfId="3780"/>
    <cellStyle name="Salida 10" xfId="2621"/>
    <cellStyle name="Salida 10 2" xfId="3402"/>
    <cellStyle name="Salida 11" xfId="2622"/>
    <cellStyle name="Salida 11 2" xfId="3403"/>
    <cellStyle name="Salida 12" xfId="2623"/>
    <cellStyle name="Salida 12 2" xfId="3404"/>
    <cellStyle name="Salida 13" xfId="2624"/>
    <cellStyle name="Salida 13 2" xfId="3405"/>
    <cellStyle name="Salida 14" xfId="2625"/>
    <cellStyle name="Salida 14 2" xfId="3406"/>
    <cellStyle name="Salida 2" xfId="2626"/>
    <cellStyle name="Salida 2 10" xfId="2627"/>
    <cellStyle name="Salida 2 10 2" xfId="3408"/>
    <cellStyle name="Salida 2 11" xfId="2628"/>
    <cellStyle name="Salida 2 11 2" xfId="3409"/>
    <cellStyle name="Salida 2 12" xfId="2629"/>
    <cellStyle name="Salida 2 12 2" xfId="3410"/>
    <cellStyle name="Salida 2 13" xfId="2630"/>
    <cellStyle name="Salida 2 13 2" xfId="3411"/>
    <cellStyle name="Salida 2 14" xfId="3407"/>
    <cellStyle name="Salida 2 2" xfId="2631"/>
    <cellStyle name="Salida 2 2 2" xfId="3412"/>
    <cellStyle name="Salida 2 3" xfId="2632"/>
    <cellStyle name="Salida 2 3 2" xfId="3413"/>
    <cellStyle name="Salida 2 4" xfId="2633"/>
    <cellStyle name="Salida 2 4 2" xfId="3414"/>
    <cellStyle name="Salida 2 5" xfId="2634"/>
    <cellStyle name="Salida 2 5 2" xfId="3415"/>
    <cellStyle name="Salida 2 6" xfId="2635"/>
    <cellStyle name="Salida 2 6 2" xfId="3416"/>
    <cellStyle name="Salida 2 7" xfId="2636"/>
    <cellStyle name="Salida 2 7 2" xfId="3417"/>
    <cellStyle name="Salida 2 8" xfId="2637"/>
    <cellStyle name="Salida 2 8 2" xfId="3418"/>
    <cellStyle name="Salida 2 9" xfId="2638"/>
    <cellStyle name="Salida 2 9 2" xfId="3419"/>
    <cellStyle name="Salida 3" xfId="2639"/>
    <cellStyle name="Salida 3 2" xfId="3420"/>
    <cellStyle name="Salida 4" xfId="2640"/>
    <cellStyle name="Salida 4 2" xfId="3421"/>
    <cellStyle name="Salida 5" xfId="2641"/>
    <cellStyle name="Salida 5 2" xfId="3422"/>
    <cellStyle name="Salida 6" xfId="2642"/>
    <cellStyle name="Salida 6 2" xfId="3423"/>
    <cellStyle name="Salida 7" xfId="2643"/>
    <cellStyle name="Salida 7 2" xfId="3424"/>
    <cellStyle name="Salida 8" xfId="2644"/>
    <cellStyle name="Salida 8 2" xfId="3425"/>
    <cellStyle name="Salida 9" xfId="2645"/>
    <cellStyle name="Salida 9 2" xfId="3426"/>
    <cellStyle name="SAPBEXchaText" xfId="2646"/>
    <cellStyle name="SAPBEXHLevel1" xfId="2647"/>
    <cellStyle name="SAPBEXHLevel2" xfId="2648"/>
    <cellStyle name="SAPBEXstdData" xfId="2649"/>
    <cellStyle name="SAPBEXstdItem" xfId="2650"/>
    <cellStyle name="Standard_Grundlagen" xfId="2651"/>
    <cellStyle name="Text d'advertiment 1" xfId="2652"/>
    <cellStyle name="Text d'advertiment 10" xfId="2653"/>
    <cellStyle name="Text d'advertiment 11" xfId="2654"/>
    <cellStyle name="Text d'advertiment 12" xfId="2655"/>
    <cellStyle name="Text d'advertiment 13" xfId="2656"/>
    <cellStyle name="Text d'advertiment 14" xfId="2657"/>
    <cellStyle name="Text d'advertiment 15" xfId="2658"/>
    <cellStyle name="Text d'advertiment 16" xfId="2659"/>
    <cellStyle name="Text d'advertiment 17" xfId="2660"/>
    <cellStyle name="Text d'advertiment 18" xfId="2661"/>
    <cellStyle name="Text d'advertiment 19" xfId="2662"/>
    <cellStyle name="Text d'advertiment 2" xfId="2663"/>
    <cellStyle name="Text d'advertiment 2 2" xfId="2664"/>
    <cellStyle name="Text d'advertiment 20" xfId="2665"/>
    <cellStyle name="Text d'advertiment 21" xfId="2666"/>
    <cellStyle name="Text d'advertiment 22" xfId="2667"/>
    <cellStyle name="Text d'advertiment 23" xfId="2668"/>
    <cellStyle name="Text d'advertiment 24" xfId="2669"/>
    <cellStyle name="Text d'advertiment 25" xfId="2670"/>
    <cellStyle name="Text d'advertiment 26" xfId="2671"/>
    <cellStyle name="Text d'advertiment 27" xfId="2672"/>
    <cellStyle name="Text d'advertiment 28" xfId="2673"/>
    <cellStyle name="Text d'advertiment 29" xfId="2674"/>
    <cellStyle name="Text d'advertiment 3" xfId="2675"/>
    <cellStyle name="Text d'advertiment 30" xfId="2676"/>
    <cellStyle name="Text d'advertiment 31" xfId="2677"/>
    <cellStyle name="Text d'advertiment 32" xfId="2678"/>
    <cellStyle name="Text d'advertiment 33" xfId="2679"/>
    <cellStyle name="Text d'advertiment 34" xfId="2680"/>
    <cellStyle name="Text d'advertiment 35" xfId="2681"/>
    <cellStyle name="Text d'advertiment 36" xfId="2682"/>
    <cellStyle name="Text d'advertiment 37" xfId="2683"/>
    <cellStyle name="Text d'advertiment 38" xfId="2684"/>
    <cellStyle name="Text d'advertiment 39" xfId="2685"/>
    <cellStyle name="Text d'advertiment 4" xfId="2686"/>
    <cellStyle name="Text d'advertiment 40" xfId="2687"/>
    <cellStyle name="Text d'advertiment 41" xfId="2688"/>
    <cellStyle name="Text d'advertiment 5" xfId="2689"/>
    <cellStyle name="Text d'advertiment 6" xfId="2690"/>
    <cellStyle name="Text d'advertiment 7" xfId="2691"/>
    <cellStyle name="Text d'advertiment 8" xfId="2692"/>
    <cellStyle name="Text d'advertiment 9" xfId="2693"/>
    <cellStyle name="Text explicatiu 1" xfId="2694"/>
    <cellStyle name="Text explicatiu 10" xfId="2695"/>
    <cellStyle name="Text explicatiu 11" xfId="2696"/>
    <cellStyle name="Text explicatiu 12" xfId="2697"/>
    <cellStyle name="Text explicatiu 13" xfId="2698"/>
    <cellStyle name="Text explicatiu 14" xfId="2699"/>
    <cellStyle name="Text explicatiu 15" xfId="2700"/>
    <cellStyle name="Text explicatiu 16" xfId="2701"/>
    <cellStyle name="Text explicatiu 17" xfId="2702"/>
    <cellStyle name="Text explicatiu 18" xfId="2703"/>
    <cellStyle name="Text explicatiu 19" xfId="2704"/>
    <cellStyle name="Text explicatiu 2" xfId="2705"/>
    <cellStyle name="Text explicatiu 2 2" xfId="2706"/>
    <cellStyle name="Text explicatiu 20" xfId="2707"/>
    <cellStyle name="Text explicatiu 21" xfId="2708"/>
    <cellStyle name="Text explicatiu 22" xfId="2709"/>
    <cellStyle name="Text explicatiu 23" xfId="2710"/>
    <cellStyle name="Text explicatiu 24" xfId="2711"/>
    <cellStyle name="Text explicatiu 25" xfId="2712"/>
    <cellStyle name="Text explicatiu 26" xfId="2713"/>
    <cellStyle name="Text explicatiu 27" xfId="2714"/>
    <cellStyle name="Text explicatiu 28" xfId="2715"/>
    <cellStyle name="Text explicatiu 29" xfId="2716"/>
    <cellStyle name="Text explicatiu 3" xfId="2717"/>
    <cellStyle name="Text explicatiu 30" xfId="2718"/>
    <cellStyle name="Text explicatiu 31" xfId="2719"/>
    <cellStyle name="Text explicatiu 32" xfId="2720"/>
    <cellStyle name="Text explicatiu 33" xfId="2721"/>
    <cellStyle name="Text explicatiu 34" xfId="2722"/>
    <cellStyle name="Text explicatiu 35" xfId="2723"/>
    <cellStyle name="Text explicatiu 36" xfId="2724"/>
    <cellStyle name="Text explicatiu 37" xfId="2725"/>
    <cellStyle name="Text explicatiu 38" xfId="2726"/>
    <cellStyle name="Text explicatiu 39" xfId="2727"/>
    <cellStyle name="Text explicatiu 4" xfId="2728"/>
    <cellStyle name="Text explicatiu 40" xfId="2729"/>
    <cellStyle name="Text explicatiu 41" xfId="2730"/>
    <cellStyle name="Text explicatiu 5" xfId="2731"/>
    <cellStyle name="Text explicatiu 6" xfId="2732"/>
    <cellStyle name="Text explicatiu 7" xfId="2733"/>
    <cellStyle name="Text explicatiu 8" xfId="2734"/>
    <cellStyle name="Text explicatiu 9" xfId="2735"/>
    <cellStyle name="Títol 1 1" xfId="2736"/>
    <cellStyle name="Títol 1 10" xfId="2737"/>
    <cellStyle name="Títol 1 11" xfId="2738"/>
    <cellStyle name="Títol 1 12" xfId="2739"/>
    <cellStyle name="Títol 1 13" xfId="2740"/>
    <cellStyle name="Títol 1 14" xfId="2741"/>
    <cellStyle name="Títol 1 15" xfId="2742"/>
    <cellStyle name="Títol 1 16" xfId="2743"/>
    <cellStyle name="Títol 1 17" xfId="2744"/>
    <cellStyle name="Títol 1 18" xfId="2745"/>
    <cellStyle name="Títol 1 19" xfId="2746"/>
    <cellStyle name="Títol 1 2" xfId="2747"/>
    <cellStyle name="Títol 1 2 2" xfId="2748"/>
    <cellStyle name="Títol 1 20" xfId="2749"/>
    <cellStyle name="Títol 1 21" xfId="2750"/>
    <cellStyle name="Títol 1 22" xfId="2751"/>
    <cellStyle name="Títol 1 23" xfId="2752"/>
    <cellStyle name="Títol 1 24" xfId="2753"/>
    <cellStyle name="Títol 1 25" xfId="2754"/>
    <cellStyle name="Títol 1 26" xfId="2755"/>
    <cellStyle name="Títol 1 27" xfId="2756"/>
    <cellStyle name="Títol 1 28" xfId="2757"/>
    <cellStyle name="Títol 1 29" xfId="2758"/>
    <cellStyle name="Títol 1 3" xfId="2759"/>
    <cellStyle name="Títol 1 30" xfId="2760"/>
    <cellStyle name="Títol 1 31" xfId="2761"/>
    <cellStyle name="Títol 1 32" xfId="2762"/>
    <cellStyle name="Títol 1 33" xfId="2763"/>
    <cellStyle name="Títol 1 34" xfId="2764"/>
    <cellStyle name="Títol 1 35" xfId="2765"/>
    <cellStyle name="Títol 1 36" xfId="2766"/>
    <cellStyle name="Títol 1 37" xfId="2767"/>
    <cellStyle name="Títol 1 38" xfId="2768"/>
    <cellStyle name="Títol 1 39" xfId="2769"/>
    <cellStyle name="Títol 1 4" xfId="2770"/>
    <cellStyle name="Títol 1 40" xfId="2771"/>
    <cellStyle name="Títol 1 41" xfId="2772"/>
    <cellStyle name="Títol 1 5" xfId="2773"/>
    <cellStyle name="Títol 1 6" xfId="2774"/>
    <cellStyle name="Títol 1 7" xfId="2775"/>
    <cellStyle name="Títol 1 8" xfId="2776"/>
    <cellStyle name="Títol 1 9" xfId="2777"/>
    <cellStyle name="Títol 10" xfId="2778"/>
    <cellStyle name="Títol 11" xfId="2779"/>
    <cellStyle name="Títol 12" xfId="2780"/>
    <cellStyle name="Títol 13" xfId="2781"/>
    <cellStyle name="Títol 14" xfId="2782"/>
    <cellStyle name="Títol 15" xfId="2783"/>
    <cellStyle name="Títol 16" xfId="2784"/>
    <cellStyle name="Títol 17" xfId="2785"/>
    <cellStyle name="Títol 18" xfId="2786"/>
    <cellStyle name="Títol 19" xfId="2787"/>
    <cellStyle name="Títol 2 1" xfId="2788"/>
    <cellStyle name="Títol 2 10" xfId="2789"/>
    <cellStyle name="Títol 2 11" xfId="2790"/>
    <cellStyle name="Títol 2 12" xfId="2791"/>
    <cellStyle name="Títol 2 13" xfId="2792"/>
    <cellStyle name="Títol 2 14" xfId="2793"/>
    <cellStyle name="Títol 2 15" xfId="2794"/>
    <cellStyle name="Títol 2 16" xfId="2795"/>
    <cellStyle name="Títol 2 17" xfId="2796"/>
    <cellStyle name="Títol 2 18" xfId="2797"/>
    <cellStyle name="Títol 2 19" xfId="2798"/>
    <cellStyle name="Títol 2 2" xfId="2799"/>
    <cellStyle name="Títol 2 2 2" xfId="2800"/>
    <cellStyle name="Títol 2 20" xfId="2801"/>
    <cellStyle name="Títol 2 21" xfId="2802"/>
    <cellStyle name="Títol 2 22" xfId="2803"/>
    <cellStyle name="Títol 2 23" xfId="2804"/>
    <cellStyle name="Títol 2 24" xfId="2805"/>
    <cellStyle name="Títol 2 25" xfId="2806"/>
    <cellStyle name="Títol 2 26" xfId="2807"/>
    <cellStyle name="Títol 2 27" xfId="2808"/>
    <cellStyle name="Títol 2 28" xfId="2809"/>
    <cellStyle name="Títol 2 29" xfId="2810"/>
    <cellStyle name="Títol 2 3" xfId="2811"/>
    <cellStyle name="Títol 2 30" xfId="2812"/>
    <cellStyle name="Títol 2 31" xfId="2813"/>
    <cellStyle name="Títol 2 32" xfId="2814"/>
    <cellStyle name="Títol 2 33" xfId="2815"/>
    <cellStyle name="Títol 2 34" xfId="2816"/>
    <cellStyle name="Títol 2 35" xfId="2817"/>
    <cellStyle name="Títol 2 36" xfId="2818"/>
    <cellStyle name="Títol 2 37" xfId="2819"/>
    <cellStyle name="Títol 2 38" xfId="2820"/>
    <cellStyle name="Títol 2 39" xfId="2821"/>
    <cellStyle name="Títol 2 4" xfId="2822"/>
    <cellStyle name="Títol 2 40" xfId="2823"/>
    <cellStyle name="Títol 2 41" xfId="2824"/>
    <cellStyle name="Títol 2 5" xfId="2825"/>
    <cellStyle name="Títol 2 6" xfId="2826"/>
    <cellStyle name="Títol 2 7" xfId="2827"/>
    <cellStyle name="Títol 2 8" xfId="2828"/>
    <cellStyle name="Títol 2 9" xfId="2829"/>
    <cellStyle name="Títol 20" xfId="2830"/>
    <cellStyle name="Títol 21" xfId="2831"/>
    <cellStyle name="Títol 22" xfId="2832"/>
    <cellStyle name="Títol 23" xfId="2833"/>
    <cellStyle name="Títol 24" xfId="2834"/>
    <cellStyle name="Títol 25" xfId="2835"/>
    <cellStyle name="Títol 26" xfId="2836"/>
    <cellStyle name="Títol 27" xfId="2837"/>
    <cellStyle name="Títol 28" xfId="2838"/>
    <cellStyle name="Títol 29" xfId="2839"/>
    <cellStyle name="Títol 3 1" xfId="2840"/>
    <cellStyle name="Títol 3 10" xfId="2841"/>
    <cellStyle name="Títol 3 11" xfId="2842"/>
    <cellStyle name="Títol 3 12" xfId="2843"/>
    <cellStyle name="Títol 3 13" xfId="2844"/>
    <cellStyle name="Títol 3 14" xfId="2845"/>
    <cellStyle name="Títol 3 15" xfId="2846"/>
    <cellStyle name="Títol 3 16" xfId="2847"/>
    <cellStyle name="Títol 3 17" xfId="2848"/>
    <cellStyle name="Títol 3 18" xfId="2849"/>
    <cellStyle name="Títol 3 19" xfId="2850"/>
    <cellStyle name="Títol 3 2" xfId="2851"/>
    <cellStyle name="Títol 3 2 2" xfId="2852"/>
    <cellStyle name="Títol 3 20" xfId="2853"/>
    <cellStyle name="Títol 3 21" xfId="2854"/>
    <cellStyle name="Títol 3 22" xfId="2855"/>
    <cellStyle name="Títol 3 23" xfId="2856"/>
    <cellStyle name="Títol 3 24" xfId="2857"/>
    <cellStyle name="Títol 3 25" xfId="2858"/>
    <cellStyle name="Títol 3 26" xfId="2859"/>
    <cellStyle name="Títol 3 27" xfId="2860"/>
    <cellStyle name="Títol 3 28" xfId="2861"/>
    <cellStyle name="Títol 3 29" xfId="2862"/>
    <cellStyle name="Títol 3 3" xfId="2863"/>
    <cellStyle name="Títol 3 30" xfId="2864"/>
    <cellStyle name="Títol 3 31" xfId="2865"/>
    <cellStyle name="Títol 3 32" xfId="2866"/>
    <cellStyle name="Títol 3 33" xfId="2867"/>
    <cellStyle name="Títol 3 34" xfId="2868"/>
    <cellStyle name="Títol 3 35" xfId="2869"/>
    <cellStyle name="Títol 3 36" xfId="2870"/>
    <cellStyle name="Títol 3 37" xfId="2871"/>
    <cellStyle name="Títol 3 38" xfId="2872"/>
    <cellStyle name="Títol 3 39" xfId="2873"/>
    <cellStyle name="Títol 3 4" xfId="2874"/>
    <cellStyle name="Títol 3 40" xfId="2875"/>
    <cellStyle name="Títol 3 41" xfId="2876"/>
    <cellStyle name="Títol 3 5" xfId="2877"/>
    <cellStyle name="Títol 3 6" xfId="2878"/>
    <cellStyle name="Títol 3 7" xfId="2879"/>
    <cellStyle name="Títol 3 8" xfId="2880"/>
    <cellStyle name="Títol 3 9" xfId="2881"/>
    <cellStyle name="Títol 30" xfId="2882"/>
    <cellStyle name="Títol 31" xfId="2883"/>
    <cellStyle name="Títol 32" xfId="2884"/>
    <cellStyle name="Títol 33" xfId="2885"/>
    <cellStyle name="Títol 34" xfId="2886"/>
    <cellStyle name="Títol 35" xfId="2887"/>
    <cellStyle name="Títol 36" xfId="2888"/>
    <cellStyle name="Títol 37" xfId="2889"/>
    <cellStyle name="Títol 38" xfId="2890"/>
    <cellStyle name="Títol 39" xfId="2891"/>
    <cellStyle name="Títol 4 1" xfId="2892"/>
    <cellStyle name="Títol 4 10" xfId="2893"/>
    <cellStyle name="Títol 4 11" xfId="2894"/>
    <cellStyle name="Títol 4 12" xfId="2895"/>
    <cellStyle name="Títol 4 13" xfId="2896"/>
    <cellStyle name="Títol 4 14" xfId="2897"/>
    <cellStyle name="Títol 4 15" xfId="2898"/>
    <cellStyle name="Títol 4 16" xfId="2899"/>
    <cellStyle name="Títol 4 17" xfId="2900"/>
    <cellStyle name="Títol 4 18" xfId="2901"/>
    <cellStyle name="Títol 4 19" xfId="2902"/>
    <cellStyle name="Títol 4 2" xfId="2903"/>
    <cellStyle name="Títol 4 2 2" xfId="2904"/>
    <cellStyle name="Títol 4 20" xfId="2905"/>
    <cellStyle name="Títol 4 21" xfId="2906"/>
    <cellStyle name="Títol 4 22" xfId="2907"/>
    <cellStyle name="Títol 4 23" xfId="2908"/>
    <cellStyle name="Títol 4 24" xfId="2909"/>
    <cellStyle name="Títol 4 25" xfId="2910"/>
    <cellStyle name="Títol 4 26" xfId="2911"/>
    <cellStyle name="Títol 4 27" xfId="2912"/>
    <cellStyle name="Títol 4 28" xfId="2913"/>
    <cellStyle name="Títol 4 29" xfId="2914"/>
    <cellStyle name="Títol 4 3" xfId="2915"/>
    <cellStyle name="Títol 4 30" xfId="2916"/>
    <cellStyle name="Títol 4 31" xfId="2917"/>
    <cellStyle name="Títol 4 32" xfId="2918"/>
    <cellStyle name="Títol 4 33" xfId="2919"/>
    <cellStyle name="Títol 4 34" xfId="2920"/>
    <cellStyle name="Títol 4 35" xfId="2921"/>
    <cellStyle name="Títol 4 36" xfId="2922"/>
    <cellStyle name="Títol 4 37" xfId="2923"/>
    <cellStyle name="Títol 4 38" xfId="2924"/>
    <cellStyle name="Títol 4 39" xfId="2925"/>
    <cellStyle name="Títol 4 4" xfId="2926"/>
    <cellStyle name="Títol 4 40" xfId="2927"/>
    <cellStyle name="Títol 4 41" xfId="2928"/>
    <cellStyle name="Títol 4 5" xfId="2929"/>
    <cellStyle name="Títol 4 6" xfId="2930"/>
    <cellStyle name="Títol 4 7" xfId="2931"/>
    <cellStyle name="Títol 4 8" xfId="2932"/>
    <cellStyle name="Títol 4 9" xfId="2933"/>
    <cellStyle name="Títol 40" xfId="2934"/>
    <cellStyle name="Títol 41" xfId="2935"/>
    <cellStyle name="Títol 42" xfId="2936"/>
    <cellStyle name="Títol 43" xfId="2937"/>
    <cellStyle name="Títol 44" xfId="2938"/>
    <cellStyle name="Títol 45" xfId="2939"/>
    <cellStyle name="Títol 5" xfId="2940"/>
    <cellStyle name="Títol 6" xfId="2941"/>
    <cellStyle name="Títol 7" xfId="2942"/>
    <cellStyle name="Títol 8" xfId="2943"/>
    <cellStyle name="Títol 9" xfId="2944"/>
    <cellStyle name="Títol del DataPilot" xfId="3781"/>
    <cellStyle name="Total 1" xfId="2945"/>
    <cellStyle name="Total 10" xfId="2946"/>
    <cellStyle name="Total 11" xfId="2947"/>
    <cellStyle name="Total 12" xfId="2948"/>
    <cellStyle name="Total 13" xfId="2949"/>
    <cellStyle name="Total 14" xfId="2950"/>
    <cellStyle name="Total 15" xfId="2951"/>
    <cellStyle name="Total 16" xfId="2952"/>
    <cellStyle name="Total 17" xfId="2953"/>
    <cellStyle name="Total 18" xfId="2954"/>
    <cellStyle name="Total 19" xfId="2955"/>
    <cellStyle name="Total 2" xfId="2956"/>
    <cellStyle name="Total 2 10" xfId="2957"/>
    <cellStyle name="Total 2 10 2" xfId="3428"/>
    <cellStyle name="Total 2 11" xfId="2958"/>
    <cellStyle name="Total 2 11 2" xfId="3429"/>
    <cellStyle name="Total 2 12" xfId="2959"/>
    <cellStyle name="Total 2 12 2" xfId="3430"/>
    <cellStyle name="Total 2 13" xfId="2960"/>
    <cellStyle name="Total 2 13 2" xfId="3431"/>
    <cellStyle name="Total 2 14" xfId="2961"/>
    <cellStyle name="Total 2 14 2" xfId="3432"/>
    <cellStyle name="Total 2 15" xfId="3427"/>
    <cellStyle name="Total 2 2" xfId="2962"/>
    <cellStyle name="Total 2 2 10" xfId="2963"/>
    <cellStyle name="Total 2 2 10 2" xfId="3434"/>
    <cellStyle name="Total 2 2 11" xfId="2964"/>
    <cellStyle name="Total 2 2 11 2" xfId="3435"/>
    <cellStyle name="Total 2 2 12" xfId="2965"/>
    <cellStyle name="Total 2 2 12 2" xfId="3436"/>
    <cellStyle name="Total 2 2 13" xfId="2966"/>
    <cellStyle name="Total 2 2 13 2" xfId="3437"/>
    <cellStyle name="Total 2 2 14" xfId="3433"/>
    <cellStyle name="Total 2 2 2" xfId="2967"/>
    <cellStyle name="Total 2 2 2 2" xfId="3438"/>
    <cellStyle name="Total 2 2 3" xfId="2968"/>
    <cellStyle name="Total 2 2 3 2" xfId="3439"/>
    <cellStyle name="Total 2 2 4" xfId="2969"/>
    <cellStyle name="Total 2 2 4 2" xfId="3440"/>
    <cellStyle name="Total 2 2 5" xfId="2970"/>
    <cellStyle name="Total 2 2 5 2" xfId="3441"/>
    <cellStyle name="Total 2 2 6" xfId="2971"/>
    <cellStyle name="Total 2 2 6 2" xfId="3442"/>
    <cellStyle name="Total 2 2 7" xfId="2972"/>
    <cellStyle name="Total 2 2 7 2" xfId="3443"/>
    <cellStyle name="Total 2 2 8" xfId="2973"/>
    <cellStyle name="Total 2 2 8 2" xfId="3444"/>
    <cellStyle name="Total 2 2 9" xfId="2974"/>
    <cellStyle name="Total 2 2 9 2" xfId="3445"/>
    <cellStyle name="Total 2 3" xfId="2975"/>
    <cellStyle name="Total 2 3 2" xfId="3446"/>
    <cellStyle name="Total 2 4" xfId="2976"/>
    <cellStyle name="Total 2 4 2" xfId="3447"/>
    <cellStyle name="Total 2 5" xfId="2977"/>
    <cellStyle name="Total 2 5 2" xfId="3448"/>
    <cellStyle name="Total 2 6" xfId="2978"/>
    <cellStyle name="Total 2 6 2" xfId="3449"/>
    <cellStyle name="Total 2 7" xfId="2979"/>
    <cellStyle name="Total 2 7 2" xfId="3450"/>
    <cellStyle name="Total 2 8" xfId="2980"/>
    <cellStyle name="Total 2 8 2" xfId="3451"/>
    <cellStyle name="Total 2 9" xfId="2981"/>
    <cellStyle name="Total 2 9 2" xfId="3452"/>
    <cellStyle name="Total 20" xfId="2982"/>
    <cellStyle name="Total 21" xfId="2983"/>
    <cellStyle name="Total 22" xfId="2984"/>
    <cellStyle name="Total 23" xfId="2985"/>
    <cellStyle name="Total 24" xfId="2986"/>
    <cellStyle name="Total 25" xfId="2987"/>
    <cellStyle name="Total 26" xfId="2988"/>
    <cellStyle name="Total 27" xfId="2989"/>
    <cellStyle name="Total 28" xfId="2990"/>
    <cellStyle name="Total 29" xfId="2991"/>
    <cellStyle name="Total 3" xfId="2992"/>
    <cellStyle name="Total 30" xfId="2993"/>
    <cellStyle name="Total 31" xfId="2994"/>
    <cellStyle name="Total 32" xfId="2995"/>
    <cellStyle name="Total 33" xfId="2996"/>
    <cellStyle name="Total 34" xfId="2997"/>
    <cellStyle name="Total 35" xfId="2998"/>
    <cellStyle name="Total 36" xfId="2999"/>
    <cellStyle name="Total 37" xfId="3000"/>
    <cellStyle name="Total 38" xfId="3001"/>
    <cellStyle name="Total 39" xfId="3002"/>
    <cellStyle name="Total 4" xfId="3003"/>
    <cellStyle name="Total 40" xfId="3004"/>
    <cellStyle name="Total 41" xfId="3005"/>
    <cellStyle name="Total 5" xfId="3006"/>
    <cellStyle name="Total 6" xfId="3007"/>
    <cellStyle name="Total 7" xfId="3008"/>
    <cellStyle name="Total 8" xfId="3009"/>
    <cellStyle name="Total 9" xfId="3010"/>
    <cellStyle name="Ungeschützt" xfId="3011"/>
    <cellStyle name="Ungeschützt 2" xfId="3012"/>
    <cellStyle name="Ungeschützt 2 10" xfId="3013"/>
    <cellStyle name="Ungeschützt 2 11" xfId="3014"/>
    <cellStyle name="Ungeschützt 2 12" xfId="3015"/>
    <cellStyle name="Ungeschützt 2 13" xfId="3016"/>
    <cellStyle name="Ungeschützt 2 14" xfId="3017"/>
    <cellStyle name="Ungeschützt 2 15" xfId="3018"/>
    <cellStyle name="Ungeschützt 2 16" xfId="3019"/>
    <cellStyle name="Ungeschützt 2 17" xfId="3020"/>
    <cellStyle name="Ungeschützt 2 18" xfId="3021"/>
    <cellStyle name="Ungeschützt 2 19" xfId="3022"/>
    <cellStyle name="Ungeschützt 2 2" xfId="3023"/>
    <cellStyle name="Ungeschützt 2 2 2" xfId="3618"/>
    <cellStyle name="Ungeschützt 2 2 3" xfId="3758"/>
    <cellStyle name="Ungeschützt 2 20" xfId="3024"/>
    <cellStyle name="Ungeschützt 2 21" xfId="3025"/>
    <cellStyle name="Ungeschützt 2 22" xfId="3026"/>
    <cellStyle name="Ungeschützt 2 23" xfId="3027"/>
    <cellStyle name="Ungeschützt 2 24" xfId="3028"/>
    <cellStyle name="Ungeschützt 2 25" xfId="3029"/>
    <cellStyle name="Ungeschützt 2 26" xfId="3030"/>
    <cellStyle name="Ungeschützt 2 27" xfId="3031"/>
    <cellStyle name="Ungeschützt 2 28" xfId="3032"/>
    <cellStyle name="Ungeschützt 2 29" xfId="3033"/>
    <cellStyle name="Ungeschützt 2 3" xfId="3034"/>
    <cellStyle name="Ungeschützt 2 30" xfId="3035"/>
    <cellStyle name="Ungeschützt 2 31" xfId="3036"/>
    <cellStyle name="Ungeschützt 2 32" xfId="3037"/>
    <cellStyle name="Ungeschützt 2 33" xfId="3038"/>
    <cellStyle name="Ungeschützt 2 34" xfId="3039"/>
    <cellStyle name="Ungeschützt 2 35" xfId="3040"/>
    <cellStyle name="Ungeschützt 2 36" xfId="3041"/>
    <cellStyle name="Ungeschützt 2 37" xfId="3042"/>
    <cellStyle name="Ungeschützt 2 38" xfId="3043"/>
    <cellStyle name="Ungeschützt 2 39" xfId="3044"/>
    <cellStyle name="Ungeschützt 2 4" xfId="3045"/>
    <cellStyle name="Ungeschützt 2 4 2" xfId="3730"/>
    <cellStyle name="Ungeschützt 2 40" xfId="3046"/>
    <cellStyle name="Ungeschützt 2 41" xfId="3047"/>
    <cellStyle name="Ungeschützt 2 42" xfId="3048"/>
    <cellStyle name="Ungeschützt 2 43" xfId="3049"/>
    <cellStyle name="Ungeschützt 2 44" xfId="3050"/>
    <cellStyle name="Ungeschützt 2 45" xfId="3051"/>
    <cellStyle name="Ungeschützt 2 46" xfId="3052"/>
    <cellStyle name="Ungeschützt 2 47" xfId="3053"/>
    <cellStyle name="Ungeschützt 2 5" xfId="3054"/>
    <cellStyle name="Ungeschützt 2 6" xfId="3055"/>
    <cellStyle name="Ungeschützt 2 7" xfId="3056"/>
    <cellStyle name="Ungeschützt 2 8" xfId="3057"/>
    <cellStyle name="Ungeschützt 2 9" xfId="3058"/>
    <cellStyle name="Ungeschützt 3" xfId="3059"/>
    <cellStyle name="Ungeschützt 3 2" xfId="3060"/>
    <cellStyle name="Ungeschützt 3 2 2" xfId="3619"/>
    <cellStyle name="Ungeschützt 3 2 3" xfId="3759"/>
    <cellStyle name="Ungeschützt 3 3" xfId="3061"/>
    <cellStyle name="Ungeschützt 3 4" xfId="3731"/>
    <cellStyle name="Ungeschützt 4" xfId="3062"/>
    <cellStyle name="Ungeschützt 4 2" xfId="3063"/>
    <cellStyle name="Ungeschützt 4 2 2" xfId="3620"/>
    <cellStyle name="Ungeschützt 4 2 3" xfId="3760"/>
    <cellStyle name="Ungeschützt 4 3" xfId="3597"/>
    <cellStyle name="Ungeschützt 4 4" xfId="3732"/>
    <cellStyle name="Ungeschützt 5" xfId="3596"/>
    <cellStyle name="Ungeschützt 6" xfId="3729"/>
    <cellStyle name="UngeschütztDatum" xfId="3064"/>
    <cellStyle name="UngeschütztDatum 2" xfId="3065"/>
    <cellStyle name="UngeschütztDatum 2 10" xfId="3066"/>
    <cellStyle name="UngeschütztDatum 2 11" xfId="3067"/>
    <cellStyle name="UngeschütztDatum 2 12" xfId="3068"/>
    <cellStyle name="UngeschütztDatum 2 13" xfId="3069"/>
    <cellStyle name="UngeschütztDatum 2 14" xfId="3070"/>
    <cellStyle name="UngeschütztDatum 2 15" xfId="3071"/>
    <cellStyle name="UngeschütztDatum 2 16" xfId="3072"/>
    <cellStyle name="UngeschütztDatum 2 17" xfId="3073"/>
    <cellStyle name="UngeschütztDatum 2 18" xfId="3074"/>
    <cellStyle name="UngeschütztDatum 2 19" xfId="3075"/>
    <cellStyle name="UngeschütztDatum 2 2" xfId="3076"/>
    <cellStyle name="UngeschütztDatum 2 20" xfId="3077"/>
    <cellStyle name="UngeschütztDatum 2 21" xfId="3078"/>
    <cellStyle name="UngeschütztDatum 2 22" xfId="3079"/>
    <cellStyle name="UngeschütztDatum 2 23" xfId="3080"/>
    <cellStyle name="UngeschütztDatum 2 24" xfId="3081"/>
    <cellStyle name="UngeschütztDatum 2 25" xfId="3082"/>
    <cellStyle name="UngeschütztDatum 2 26" xfId="3083"/>
    <cellStyle name="UngeschütztDatum 2 27" xfId="3084"/>
    <cellStyle name="UngeschütztDatum 2 28" xfId="3085"/>
    <cellStyle name="UngeschütztDatum 2 29" xfId="3086"/>
    <cellStyle name="UngeschütztDatum 2 3" xfId="3087"/>
    <cellStyle name="UngeschütztDatum 2 30" xfId="3088"/>
    <cellStyle name="UngeschütztDatum 2 31" xfId="3089"/>
    <cellStyle name="UngeschütztDatum 2 32" xfId="3090"/>
    <cellStyle name="UngeschütztDatum 2 33" xfId="3091"/>
    <cellStyle name="UngeschütztDatum 2 34" xfId="3092"/>
    <cellStyle name="UngeschütztDatum 2 35" xfId="3093"/>
    <cellStyle name="UngeschütztDatum 2 36" xfId="3094"/>
    <cellStyle name="UngeschütztDatum 2 37" xfId="3095"/>
    <cellStyle name="UngeschütztDatum 2 38" xfId="3096"/>
    <cellStyle name="UngeschütztDatum 2 39" xfId="3097"/>
    <cellStyle name="UngeschütztDatum 2 4" xfId="3098"/>
    <cellStyle name="UngeschütztDatum 2 40" xfId="3099"/>
    <cellStyle name="UngeschütztDatum 2 41" xfId="3100"/>
    <cellStyle name="UngeschütztDatum 2 42" xfId="3101"/>
    <cellStyle name="UngeschütztDatum 2 43" xfId="3102"/>
    <cellStyle name="UngeschütztDatum 2 44" xfId="3103"/>
    <cellStyle name="UngeschütztDatum 2 45" xfId="3104"/>
    <cellStyle name="UngeschütztDatum 2 46" xfId="3105"/>
    <cellStyle name="UngeschütztDatum 2 47" xfId="3106"/>
    <cellStyle name="UngeschütztDatum 2 5" xfId="3107"/>
    <cellStyle name="UngeschütztDatum 2 6" xfId="3108"/>
    <cellStyle name="UngeschütztDatum 2 7" xfId="3109"/>
    <cellStyle name="UngeschütztDatum 2 8" xfId="3110"/>
    <cellStyle name="UngeschütztDatum 2 9" xfId="3111"/>
    <cellStyle name="UngeschütztDatum 3" xfId="3112"/>
    <cellStyle name="UngeschütztDatum 3 2" xfId="3113"/>
    <cellStyle name="UngeschütztDatum 3 3" xfId="3114"/>
    <cellStyle name="UngeschütztDatum 4" xfId="3115"/>
    <cellStyle name="UngeschütztDatum 4 2" xfId="3116"/>
    <cellStyle name="UngeschütztGE" xfId="3117"/>
    <cellStyle name="UngeschütztGE 2" xfId="3118"/>
    <cellStyle name="UngeschütztGE 2 10" xfId="3119"/>
    <cellStyle name="UngeschütztGE 2 11" xfId="3120"/>
    <cellStyle name="UngeschütztGE 2 12" xfId="3121"/>
    <cellStyle name="UngeschütztGE 2 13" xfId="3122"/>
    <cellStyle name="UngeschütztGE 2 14" xfId="3123"/>
    <cellStyle name="UngeschütztGE 2 15" xfId="3124"/>
    <cellStyle name="UngeschütztGE 2 16" xfId="3125"/>
    <cellStyle name="UngeschütztGE 2 17" xfId="3126"/>
    <cellStyle name="UngeschütztGE 2 18" xfId="3127"/>
    <cellStyle name="UngeschütztGE 2 19" xfId="3128"/>
    <cellStyle name="UngeschütztGE 2 2" xfId="3129"/>
    <cellStyle name="UngeschütztGE 2 2 2" xfId="3621"/>
    <cellStyle name="UngeschütztGE 2 2 3" xfId="3761"/>
    <cellStyle name="UngeschütztGE 2 20" xfId="3130"/>
    <cellStyle name="UngeschütztGE 2 21" xfId="3131"/>
    <cellStyle name="UngeschütztGE 2 22" xfId="3132"/>
    <cellStyle name="UngeschütztGE 2 23" xfId="3133"/>
    <cellStyle name="UngeschütztGE 2 24" xfId="3134"/>
    <cellStyle name="UngeschütztGE 2 25" xfId="3135"/>
    <cellStyle name="UngeschütztGE 2 26" xfId="3136"/>
    <cellStyle name="UngeschütztGE 2 27" xfId="3137"/>
    <cellStyle name="UngeschütztGE 2 28" xfId="3138"/>
    <cellStyle name="UngeschütztGE 2 29" xfId="3139"/>
    <cellStyle name="UngeschütztGE 2 3" xfId="3140"/>
    <cellStyle name="UngeschütztGE 2 30" xfId="3141"/>
    <cellStyle name="UngeschütztGE 2 31" xfId="3142"/>
    <cellStyle name="UngeschütztGE 2 32" xfId="3143"/>
    <cellStyle name="UngeschütztGE 2 33" xfId="3144"/>
    <cellStyle name="UngeschütztGE 2 34" xfId="3145"/>
    <cellStyle name="UngeschütztGE 2 35" xfId="3146"/>
    <cellStyle name="UngeschütztGE 2 36" xfId="3147"/>
    <cellStyle name="UngeschütztGE 2 37" xfId="3148"/>
    <cellStyle name="UngeschütztGE 2 38" xfId="3149"/>
    <cellStyle name="UngeschütztGE 2 39" xfId="3150"/>
    <cellStyle name="UngeschütztGE 2 4" xfId="3151"/>
    <cellStyle name="UngeschütztGE 2 4 2" xfId="3734"/>
    <cellStyle name="UngeschütztGE 2 40" xfId="3152"/>
    <cellStyle name="UngeschütztGE 2 41" xfId="3153"/>
    <cellStyle name="UngeschütztGE 2 42" xfId="3154"/>
    <cellStyle name="UngeschütztGE 2 43" xfId="3155"/>
    <cellStyle name="UngeschütztGE 2 44" xfId="3156"/>
    <cellStyle name="UngeschütztGE 2 45" xfId="3157"/>
    <cellStyle name="UngeschütztGE 2 46" xfId="3158"/>
    <cellStyle name="UngeschütztGE 2 47" xfId="3159"/>
    <cellStyle name="UngeschütztGE 2 5" xfId="3160"/>
    <cellStyle name="UngeschütztGE 2 6" xfId="3161"/>
    <cellStyle name="UngeschütztGE 2 7" xfId="3162"/>
    <cellStyle name="UngeschütztGE 2 8" xfId="3163"/>
    <cellStyle name="UngeschütztGE 2 9" xfId="3164"/>
    <cellStyle name="UngeschütztGE 3" xfId="3165"/>
    <cellStyle name="UngeschütztGE 3 2" xfId="3166"/>
    <cellStyle name="UngeschütztGE 3 2 2" xfId="3622"/>
    <cellStyle name="UngeschütztGE 3 2 3" xfId="3762"/>
    <cellStyle name="UngeschütztGE 3 3" xfId="3167"/>
    <cellStyle name="UngeschütztGE 3 4" xfId="3735"/>
    <cellStyle name="UngeschütztGE 4" xfId="3168"/>
    <cellStyle name="UngeschütztGE 4 2" xfId="3169"/>
    <cellStyle name="UngeschütztGE 4 2 2" xfId="3623"/>
    <cellStyle name="UngeschütztGE 4 2 3" xfId="3763"/>
    <cellStyle name="UngeschütztGE 4 3" xfId="3599"/>
    <cellStyle name="UngeschütztGE 4 4" xfId="3736"/>
    <cellStyle name="UngeschütztGE 5" xfId="3598"/>
    <cellStyle name="UngeschütztGE 6" xfId="3733"/>
    <cellStyle name="UngeschütztKoST" xfId="3170"/>
    <cellStyle name="UngeschütztKoST 2" xfId="3171"/>
    <cellStyle name="UngeschütztKoST 2 10" xfId="3172"/>
    <cellStyle name="UngeschütztKoST 2 11" xfId="3173"/>
    <cellStyle name="UngeschütztKoST 2 12" xfId="3174"/>
    <cellStyle name="UngeschütztKoST 2 13" xfId="3175"/>
    <cellStyle name="UngeschütztKoST 2 14" xfId="3176"/>
    <cellStyle name="UngeschütztKoST 2 15" xfId="3177"/>
    <cellStyle name="UngeschütztKoST 2 16" xfId="3178"/>
    <cellStyle name="UngeschütztKoST 2 17" xfId="3179"/>
    <cellStyle name="UngeschütztKoST 2 18" xfId="3180"/>
    <cellStyle name="UngeschütztKoST 2 19" xfId="3181"/>
    <cellStyle name="UngeschütztKoST 2 2" xfId="3182"/>
    <cellStyle name="UngeschütztKoST 2 2 2" xfId="3624"/>
    <cellStyle name="UngeschütztKoST 2 2 3" xfId="3764"/>
    <cellStyle name="UngeschütztKoST 2 20" xfId="3183"/>
    <cellStyle name="UngeschütztKoST 2 21" xfId="3184"/>
    <cellStyle name="UngeschütztKoST 2 22" xfId="3185"/>
    <cellStyle name="UngeschütztKoST 2 23" xfId="3186"/>
    <cellStyle name="UngeschütztKoST 2 24" xfId="3187"/>
    <cellStyle name="UngeschütztKoST 2 25" xfId="3188"/>
    <cellStyle name="UngeschütztKoST 2 26" xfId="3189"/>
    <cellStyle name="UngeschütztKoST 2 27" xfId="3190"/>
    <cellStyle name="UngeschütztKoST 2 28" xfId="3191"/>
    <cellStyle name="UngeschütztKoST 2 29" xfId="3192"/>
    <cellStyle name="UngeschütztKoST 2 3" xfId="3193"/>
    <cellStyle name="UngeschütztKoST 2 30" xfId="3194"/>
    <cellStyle name="UngeschütztKoST 2 31" xfId="3195"/>
    <cellStyle name="UngeschütztKoST 2 32" xfId="3196"/>
    <cellStyle name="UngeschütztKoST 2 33" xfId="3197"/>
    <cellStyle name="UngeschütztKoST 2 34" xfId="3198"/>
    <cellStyle name="UngeschütztKoST 2 35" xfId="3199"/>
    <cellStyle name="UngeschütztKoST 2 36" xfId="3200"/>
    <cellStyle name="UngeschütztKoST 2 37" xfId="3201"/>
    <cellStyle name="UngeschütztKoST 2 38" xfId="3202"/>
    <cellStyle name="UngeschütztKoST 2 39" xfId="3203"/>
    <cellStyle name="UngeschütztKoST 2 4" xfId="3204"/>
    <cellStyle name="UngeschütztKoST 2 4 2" xfId="3738"/>
    <cellStyle name="UngeschütztKoST 2 40" xfId="3205"/>
    <cellStyle name="UngeschütztKoST 2 41" xfId="3206"/>
    <cellStyle name="UngeschütztKoST 2 42" xfId="3207"/>
    <cellStyle name="UngeschütztKoST 2 43" xfId="3208"/>
    <cellStyle name="UngeschütztKoST 2 44" xfId="3209"/>
    <cellStyle name="UngeschütztKoST 2 45" xfId="3210"/>
    <cellStyle name="UngeschütztKoST 2 46" xfId="3211"/>
    <cellStyle name="UngeschütztKoST 2 47" xfId="3212"/>
    <cellStyle name="UngeschütztKoST 2 5" xfId="3213"/>
    <cellStyle name="UngeschütztKoST 2 6" xfId="3214"/>
    <cellStyle name="UngeschütztKoST 2 7" xfId="3215"/>
    <cellStyle name="UngeschütztKoST 2 8" xfId="3216"/>
    <cellStyle name="UngeschütztKoST 2 9" xfId="3217"/>
    <cellStyle name="UngeschütztKoST 3" xfId="3218"/>
    <cellStyle name="UngeschütztKoST 3 2" xfId="3219"/>
    <cellStyle name="UngeschütztKoST 3 2 2" xfId="3625"/>
    <cellStyle name="UngeschütztKoST 3 2 3" xfId="3765"/>
    <cellStyle name="UngeschütztKoST 3 3" xfId="3220"/>
    <cellStyle name="UngeschütztKoST 3 4" xfId="3739"/>
    <cellStyle name="UngeschütztKoST 4" xfId="3221"/>
    <cellStyle name="UngeschütztKoST 4 2" xfId="3222"/>
    <cellStyle name="UngeschütztKoST 4 2 2" xfId="3626"/>
    <cellStyle name="UngeschütztKoST 4 2 3" xfId="3766"/>
    <cellStyle name="UngeschütztKoST 4 3" xfId="3601"/>
    <cellStyle name="UngeschütztKoST 4 4" xfId="3740"/>
    <cellStyle name="UngeschütztKoST 5" xfId="3600"/>
    <cellStyle name="UngeschütztKoST 6" xfId="3737"/>
    <cellStyle name="UngeschütztTDM" xfId="3223"/>
    <cellStyle name="UngeschütztTDM 2" xfId="3224"/>
    <cellStyle name="UngeschütztTDM 2 10" xfId="3225"/>
    <cellStyle name="UngeschütztTDM 2 11" xfId="3226"/>
    <cellStyle name="UngeschütztTDM 2 12" xfId="3227"/>
    <cellStyle name="UngeschütztTDM 2 13" xfId="3228"/>
    <cellStyle name="UngeschütztTDM 2 14" xfId="3229"/>
    <cellStyle name="UngeschütztTDM 2 15" xfId="3230"/>
    <cellStyle name="UngeschütztTDM 2 16" xfId="3231"/>
    <cellStyle name="UngeschütztTDM 2 17" xfId="3232"/>
    <cellStyle name="UngeschütztTDM 2 18" xfId="3233"/>
    <cellStyle name="UngeschütztTDM 2 19" xfId="3234"/>
    <cellStyle name="UngeschütztTDM 2 2" xfId="3235"/>
    <cellStyle name="UngeschütztTDM 2 20" xfId="3236"/>
    <cellStyle name="UngeschütztTDM 2 21" xfId="3237"/>
    <cellStyle name="UngeschütztTDM 2 22" xfId="3238"/>
    <cellStyle name="UngeschütztTDM 2 23" xfId="3239"/>
    <cellStyle name="UngeschütztTDM 2 24" xfId="3240"/>
    <cellStyle name="UngeschütztTDM 2 25" xfId="3241"/>
    <cellStyle name="UngeschütztTDM 2 26" xfId="3242"/>
    <cellStyle name="UngeschütztTDM 2 27" xfId="3243"/>
    <cellStyle name="UngeschütztTDM 2 28" xfId="3244"/>
    <cellStyle name="UngeschütztTDM 2 29" xfId="3245"/>
    <cellStyle name="UngeschütztTDM 2 3" xfId="3246"/>
    <cellStyle name="UngeschütztTDM 2 30" xfId="3247"/>
    <cellStyle name="UngeschütztTDM 2 31" xfId="3248"/>
    <cellStyle name="UngeschütztTDM 2 32" xfId="3249"/>
    <cellStyle name="UngeschütztTDM 2 33" xfId="3250"/>
    <cellStyle name="UngeschütztTDM 2 34" xfId="3251"/>
    <cellStyle name="UngeschütztTDM 2 35" xfId="3252"/>
    <cellStyle name="UngeschütztTDM 2 36" xfId="3253"/>
    <cellStyle name="UngeschütztTDM 2 37" xfId="3254"/>
    <cellStyle name="UngeschütztTDM 2 38" xfId="3255"/>
    <cellStyle name="UngeschütztTDM 2 39" xfId="3256"/>
    <cellStyle name="UngeschütztTDM 2 4" xfId="3257"/>
    <cellStyle name="UngeschütztTDM 2 40" xfId="3258"/>
    <cellStyle name="UngeschütztTDM 2 41" xfId="3259"/>
    <cellStyle name="UngeschütztTDM 2 42" xfId="3260"/>
    <cellStyle name="UngeschütztTDM 2 43" xfId="3261"/>
    <cellStyle name="UngeschütztTDM 2 44" xfId="3262"/>
    <cellStyle name="UngeschütztTDM 2 45" xfId="3263"/>
    <cellStyle name="UngeschütztTDM 2 46" xfId="3264"/>
    <cellStyle name="UngeschütztTDM 2 47" xfId="3265"/>
    <cellStyle name="UngeschütztTDM 2 5" xfId="3266"/>
    <cellStyle name="UngeschütztTDM 2 6" xfId="3267"/>
    <cellStyle name="UngeschütztTDM 2 7" xfId="3268"/>
    <cellStyle name="UngeschütztTDM 2 8" xfId="3269"/>
    <cellStyle name="UngeschütztTDM 2 9" xfId="3270"/>
    <cellStyle name="UngeschütztTDM 3" xfId="3271"/>
    <cellStyle name="UngeschütztTDM 3 2" xfId="3272"/>
    <cellStyle name="UngeschütztTDM 3 3" xfId="3273"/>
    <cellStyle name="UngeschütztTDM 4" xfId="3274"/>
    <cellStyle name="UngeschütztTDM 4 2" xfId="3275"/>
    <cellStyle name="Valor del DataPilot" xfId="3782"/>
    <cellStyle name="Vorzeichen" xfId="3276"/>
    <cellStyle name="Vorzeichen 2" xfId="3277"/>
    <cellStyle name="Vorzeichen 2 10" xfId="3278"/>
    <cellStyle name="Vorzeichen 2 11" xfId="3279"/>
    <cellStyle name="Vorzeichen 2 12" xfId="3280"/>
    <cellStyle name="Vorzeichen 2 13" xfId="3281"/>
    <cellStyle name="Vorzeichen 2 14" xfId="3282"/>
    <cellStyle name="Vorzeichen 2 15" xfId="3283"/>
    <cellStyle name="Vorzeichen 2 16" xfId="3284"/>
    <cellStyle name="Vorzeichen 2 17" xfId="3285"/>
    <cellStyle name="Vorzeichen 2 18" xfId="3286"/>
    <cellStyle name="Vorzeichen 2 19" xfId="3287"/>
    <cellStyle name="Vorzeichen 2 2" xfId="3288"/>
    <cellStyle name="Vorzeichen 2 20" xfId="3289"/>
    <cellStyle name="Vorzeichen 2 21" xfId="3290"/>
    <cellStyle name="Vorzeichen 2 22" xfId="3291"/>
    <cellStyle name="Vorzeichen 2 23" xfId="3292"/>
    <cellStyle name="Vorzeichen 2 24" xfId="3293"/>
    <cellStyle name="Vorzeichen 2 25" xfId="3294"/>
    <cellStyle name="Vorzeichen 2 26" xfId="3295"/>
    <cellStyle name="Vorzeichen 2 27" xfId="3296"/>
    <cellStyle name="Vorzeichen 2 28" xfId="3297"/>
    <cellStyle name="Vorzeichen 2 29" xfId="3298"/>
    <cellStyle name="Vorzeichen 2 3" xfId="3299"/>
    <cellStyle name="Vorzeichen 2 30" xfId="3300"/>
    <cellStyle name="Vorzeichen 2 31" xfId="3301"/>
    <cellStyle name="Vorzeichen 2 32" xfId="3302"/>
    <cellStyle name="Vorzeichen 2 33" xfId="3303"/>
    <cellStyle name="Vorzeichen 2 34" xfId="3304"/>
    <cellStyle name="Vorzeichen 2 35" xfId="3305"/>
    <cellStyle name="Vorzeichen 2 36" xfId="3306"/>
    <cellStyle name="Vorzeichen 2 37" xfId="3307"/>
    <cellStyle name="Vorzeichen 2 38" xfId="3308"/>
    <cellStyle name="Vorzeichen 2 39" xfId="3309"/>
    <cellStyle name="Vorzeichen 2 4" xfId="3310"/>
    <cellStyle name="Vorzeichen 2 40" xfId="3311"/>
    <cellStyle name="Vorzeichen 2 41" xfId="3312"/>
    <cellStyle name="Vorzeichen 2 42" xfId="3313"/>
    <cellStyle name="Vorzeichen 2 43" xfId="3314"/>
    <cellStyle name="Vorzeichen 2 44" xfId="3315"/>
    <cellStyle name="Vorzeichen 2 45" xfId="3316"/>
    <cellStyle name="Vorzeichen 2 46" xfId="3317"/>
    <cellStyle name="Vorzeichen 2 47" xfId="3318"/>
    <cellStyle name="Vorzeichen 2 5" xfId="3319"/>
    <cellStyle name="Vorzeichen 2 6" xfId="3320"/>
    <cellStyle name="Vorzeichen 2 7" xfId="3321"/>
    <cellStyle name="Vorzeichen 2 8" xfId="3322"/>
    <cellStyle name="Vorzeichen 2 9" xfId="3323"/>
    <cellStyle name="Vorzeichen 3" xfId="3324"/>
    <cellStyle name="Vorzeichen 3 2" xfId="3325"/>
    <cellStyle name="Vorzeichen 3 3" xfId="3326"/>
    <cellStyle name="Vorzeichen 4" xfId="3327"/>
    <cellStyle name="Vorzeichen 4 2" xfId="3328"/>
    <cellStyle name="Zahl" xfId="3329"/>
    <cellStyle name="Zahl1" xfId="3330"/>
  </cellStyles>
  <dxfs count="6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top" textRotation="0" wrapText="1" relativeIndent="0" justifyLastLine="0" shrinkToFit="0" readingOrder="0"/>
      <border diagonalUp="0" diagonalDown="0" outline="0">
        <left/>
        <right style="thin">
          <color theme="1" tint="0.34998626667073579"/>
        </right>
        <top style="medium">
          <color theme="1" tint="0.34998626667073579"/>
        </top>
        <bottom style="double">
          <color theme="1" tint="0.34998626667073579"/>
        </bottom>
      </border>
    </dxf>
    <dxf>
      <font>
        <outline val="0"/>
        <shadow val="0"/>
        <u val="none"/>
        <vertAlign val="baseline"/>
        <name val="Arial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theme="1" tint="0.34998626667073579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general" vertical="top" textRotation="0" wrapText="1" relativeIndent="0" justifyLastLine="0" shrinkToFit="0" readingOrder="0"/>
      <border diagonalUp="0" diagonalDown="0" outline="0">
        <left/>
        <right/>
        <top style="medium">
          <color theme="1" tint="0.34998626667073579"/>
        </top>
        <bottom style="double">
          <color theme="1" tint="0.34998626667073579"/>
        </bottom>
      </border>
    </dxf>
    <dxf>
      <font>
        <outline val="0"/>
        <shadow val="0"/>
        <u val="none"/>
        <vertAlign val="baseline"/>
        <name val="Arial"/>
        <scheme val="none"/>
      </font>
      <numFmt numFmtId="2" formatCode="0.00"/>
      <fill>
        <patternFill patternType="solid">
          <fgColor indexed="64"/>
          <bgColor theme="0" tint="-0.14999847407452621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relativeIndent="0" justifyLastLine="0" shrinkToFit="0" readingOrder="0"/>
      <border diagonalUp="0" diagonalDown="0" outline="0">
        <left/>
        <right/>
        <top style="medium">
          <color theme="1" tint="0.34998626667073579"/>
        </top>
        <bottom style="double">
          <color theme="1" tint="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5" tint="0.59999389629810485"/>
        </patternFill>
      </fill>
      <alignment horizontal="left" vertical="top" textRotation="0" wrapText="1" indent="0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relativeIndent="0" justifyLastLine="0" shrinkToFit="0" readingOrder="0"/>
      <border diagonalUp="0" diagonalDown="0" outline="0">
        <left/>
        <right/>
        <top style="medium">
          <color theme="1" tint="0.34998626667073579"/>
        </top>
        <bottom style="double">
          <color theme="1" tint="0.34998626667073579"/>
        </bottom>
      </border>
    </dxf>
    <dxf>
      <font>
        <outline val="0"/>
        <shadow val="0"/>
        <u val="none"/>
        <vertAlign val="baseline"/>
        <name val="Arial"/>
        <scheme val="none"/>
      </font>
      <alignment horizontal="center" vertical="top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relativeIndent="0" justifyLastLine="0" shrinkToFit="0" readingOrder="0"/>
      <border diagonalUp="0" diagonalDown="0" outline="0">
        <left/>
        <right/>
        <top style="medium">
          <color theme="1" tint="0.34998626667073579"/>
        </top>
        <bottom style="double">
          <color theme="1" tint="0.34998626667073579"/>
        </bottom>
      </border>
    </dxf>
    <dxf>
      <font>
        <outline val="0"/>
        <shadow val="0"/>
        <u val="none"/>
        <vertAlign val="baseline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relativeIndent="0" justifyLastLine="0" shrinkToFit="0" readingOrder="0"/>
      <border diagonalUp="0" diagonalDown="0" outline="0">
        <left/>
        <right/>
        <top style="medium">
          <color theme="1" tint="0.34998626667073579"/>
        </top>
        <bottom style="double">
          <color theme="1" tint="0.34998626667073579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relativeIndent="0" justifyLastLine="0" shrinkToFit="0" readingOrder="0"/>
      <border diagonalUp="0" diagonalDown="0" outline="0">
        <left/>
        <right/>
        <top style="medium">
          <color theme="1" tint="0.34998626667073579"/>
        </top>
        <bottom style="double">
          <color theme="1" tint="0.3499862666707357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relativeIndent="0" justifyLastLine="0" shrinkToFit="0" readingOrder="0"/>
      <border diagonalUp="0" diagonalDown="0" outline="0">
        <left/>
        <right/>
        <top style="medium">
          <color theme="1" tint="0.34998626667073579"/>
        </top>
        <bottom style="double">
          <color theme="1" tint="0.34998626667073579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relativeIndent="0" justifyLastLine="0" shrinkToFit="0" readingOrder="0"/>
      <border diagonalUp="0" diagonalDown="0" outline="0">
        <left/>
        <right/>
        <top style="medium">
          <color theme="1" tint="0.34998626667073579"/>
        </top>
        <bottom style="double">
          <color theme="1" tint="0.34998626667073579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relativeIndent="0" justifyLastLine="0" shrinkToFit="0" readingOrder="0"/>
      <border diagonalUp="0" diagonalDown="0" outline="0">
        <left/>
        <right/>
        <top style="medium">
          <color theme="1" tint="0.34998626667073579"/>
        </top>
        <bottom style="double">
          <color theme="1" tint="0.34998626667073579"/>
        </bottom>
      </border>
    </dxf>
    <dxf>
      <font>
        <b/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</dxf>
    <dxf>
      <border>
        <top style="medium">
          <color theme="1" tint="0.34998626667073579"/>
        </top>
        <vertical/>
        <horizontal/>
      </border>
    </dxf>
    <dxf>
      <font>
        <outline val="0"/>
        <shadow val="0"/>
        <u val="none"/>
        <vertAlign val="baseline"/>
        <name val="Arial"/>
        <scheme val="none"/>
      </font>
    </dxf>
    <dxf>
      <font>
        <outline val="0"/>
        <shadow val="0"/>
        <u val="none"/>
        <vertAlign val="baseline"/>
        <name val="Arial"/>
        <scheme val="none"/>
      </font>
      <fill>
        <patternFill patternType="none">
          <fgColor indexed="64"/>
          <bgColor rgb="FFFFFFFF"/>
        </patternFill>
      </fill>
      <alignment horizontal="general" vertical="top" textRotation="0" wrapText="1" indent="0" justifyLastLine="0" shrinkToFit="0" readingOrder="0"/>
    </dxf>
    <dxf>
      <border>
        <bottom style="thin">
          <color theme="1" tint="0.34998626667073579"/>
        </bottom>
        <vertical/>
        <horizontal/>
      </border>
    </dxf>
    <dxf>
      <font>
        <outline val="0"/>
        <shadow val="0"/>
        <u val="none"/>
        <vertAlign val="baseline"/>
        <name val="Arial"/>
        <scheme val="none"/>
      </font>
      <alignment horizontal="left" vertical="center" textRotation="0" wrapText="1" indent="0" justifyLastLine="0" shrinkToFit="0" readingOrder="0"/>
    </dxf>
    <dxf>
      <fill>
        <patternFill patternType="solid">
          <fgColor rgb="FFEEE8DF"/>
          <bgColor rgb="FFEEE8DF"/>
        </patternFill>
      </fill>
    </dxf>
    <dxf>
      <fill>
        <patternFill patternType="solid">
          <fgColor rgb="FFEEE8DF"/>
          <bgColor rgb="FFEEE8DF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A98D63"/>
        </top>
      </border>
    </dxf>
    <dxf>
      <font>
        <b/>
        <color rgb="FFFFFFFF"/>
      </font>
      <fill>
        <patternFill patternType="solid">
          <fgColor rgb="FFA98D63"/>
          <bgColor rgb="FFA98D63"/>
        </patternFill>
      </fill>
    </dxf>
    <dxf>
      <font>
        <color rgb="FF000000"/>
      </font>
      <border>
        <left style="thin">
          <color rgb="FFCBBAA0"/>
        </left>
        <right style="thin">
          <color rgb="FFCBBAA0"/>
        </right>
        <top style="thin">
          <color rgb="FFCBBAA0"/>
        </top>
        <bottom style="thin">
          <color rgb="FFCBBAA0"/>
        </bottom>
        <horizontal style="thin">
          <color rgb="FFCBBAA0"/>
        </horizontal>
      </border>
    </dxf>
    <dxf>
      <fill>
        <patternFill patternType="solid">
          <fgColor rgb="FFFFF1C4"/>
          <bgColor rgb="FFFFF1C4"/>
        </patternFill>
      </fill>
    </dxf>
    <dxf>
      <fill>
        <patternFill patternType="solid">
          <fgColor rgb="FFFFF1C4"/>
          <bgColor rgb="FFFFF1C4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DEAE00"/>
        </top>
      </border>
    </dxf>
    <dxf>
      <font>
        <b/>
        <color rgb="FF000000"/>
      </font>
      <border>
        <bottom style="medium">
          <color rgb="FFDEAE00"/>
        </bottom>
      </border>
    </dxf>
    <dxf>
      <font>
        <color rgb="FF000000"/>
      </font>
      <border>
        <left style="thin">
          <color rgb="FFDEAE00"/>
        </left>
        <right style="thin">
          <color rgb="FFDEAE00"/>
        </right>
        <top style="thin">
          <color rgb="FFDEAE00"/>
        </top>
        <bottom style="thin">
          <color rgb="FFDEAE00"/>
        </bottom>
        <vertical style="thin">
          <color rgb="FFDEAE00"/>
        </vertical>
        <horizontal style="thin">
          <color rgb="FFDEAE00"/>
        </horizontal>
      </border>
    </dxf>
    <dxf>
      <fill>
        <patternFill patternType="solid">
          <fgColor rgb="FFDDEEF0"/>
          <bgColor rgb="FFDDEEF0"/>
        </patternFill>
      </fill>
    </dxf>
    <dxf>
      <fill>
        <patternFill patternType="solid">
          <fgColor rgb="FFDDEEF0"/>
          <bgColor rgb="FFDDEEF0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59B0B9"/>
        </top>
      </border>
    </dxf>
    <dxf>
      <font>
        <b/>
        <color rgb="FF000000"/>
      </font>
      <border>
        <bottom style="medium">
          <color rgb="FF59B0B9"/>
        </bottom>
      </border>
    </dxf>
    <dxf>
      <font>
        <color rgb="FF000000"/>
      </font>
      <border>
        <left style="thin">
          <color rgb="FF59B0B9"/>
        </left>
        <right style="thin">
          <color rgb="FF59B0B9"/>
        </right>
        <top style="thin">
          <color rgb="FF59B0B9"/>
        </top>
        <bottom style="thin">
          <color rgb="FF59B0B9"/>
        </bottom>
        <vertical style="thin">
          <color rgb="FF59B0B9"/>
        </vertical>
        <horizontal style="thin">
          <color rgb="FF59B0B9"/>
        </horizontal>
      </border>
    </dxf>
    <dxf>
      <fill>
        <patternFill patternType="solid">
          <fgColor rgb="FFECF7D0"/>
          <bgColor rgb="FFECF7D0"/>
        </patternFill>
      </fill>
    </dxf>
    <dxf>
      <fill>
        <patternFill patternType="solid">
          <fgColor rgb="FFECF7D0"/>
          <bgColor rgb="FFECF7D0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98C723"/>
        </top>
      </border>
    </dxf>
    <dxf>
      <font>
        <b/>
        <color rgb="FF000000"/>
      </font>
      <border>
        <bottom style="medium">
          <color rgb="FF98C723"/>
        </bottom>
      </border>
    </dxf>
    <dxf>
      <font>
        <color rgb="FF000000"/>
      </font>
      <border>
        <left style="thin">
          <color rgb="FF98C723"/>
        </left>
        <right style="thin">
          <color rgb="FF98C723"/>
        </right>
        <top style="thin">
          <color rgb="FF98C723"/>
        </top>
        <bottom style="thin">
          <color rgb="FF98C723"/>
        </bottom>
        <vertical style="thin">
          <color rgb="FF98C723"/>
        </vertical>
        <horizontal style="thin">
          <color rgb="FF98C723"/>
        </horizontal>
      </border>
    </dxf>
    <dxf>
      <fill>
        <patternFill patternType="solid">
          <fgColor rgb="FFDCE6F1"/>
          <bgColor rgb="FFDCE6F1"/>
        </patternFill>
      </fill>
    </dxf>
    <dxf>
      <fill>
        <patternFill patternType="solid">
          <fgColor rgb="FFDCE6F1"/>
          <bgColor rgb="FFDCE6F1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F81BD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color rgb="FF000000"/>
      </font>
      <border>
        <left style="thin">
          <color rgb="FF95B3D7"/>
        </left>
        <right style="thin">
          <color rgb="FF95B3D7"/>
        </right>
        <top style="thin">
          <color rgb="FF95B3D7"/>
        </top>
        <bottom style="thin">
          <color rgb="FF95B3D7"/>
        </bottom>
        <horizontal style="thin">
          <color rgb="FF95B3D7"/>
        </horizontal>
      </border>
    </dxf>
    <dxf>
      <fill>
        <patternFill patternType="solid">
          <fgColor rgb="FFDCE6F1"/>
          <bgColor rgb="FFDCE6F1"/>
        </patternFill>
      </fill>
    </dxf>
    <dxf>
      <fill>
        <patternFill patternType="solid">
          <fgColor rgb="FFDCE6F1"/>
          <bgColor rgb="FFDCE6F1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F81BD"/>
        </top>
      </border>
    </dxf>
    <dxf>
      <font>
        <b/>
        <color rgb="FFFFFFFF"/>
      </font>
      <fill>
        <patternFill patternType="solid">
          <fgColor rgb="FF4F81BD"/>
          <bgColor rgb="FF4F81BD"/>
        </patternFill>
      </fill>
    </dxf>
    <dxf>
      <font>
        <color rgb="FF000000"/>
      </font>
      <border>
        <left style="thin">
          <color rgb="FF95B3D7"/>
        </left>
        <right style="thin">
          <color rgb="FF95B3D7"/>
        </right>
        <top style="thin">
          <color rgb="FF95B3D7"/>
        </top>
        <bottom style="thin">
          <color rgb="FF95B3D7"/>
        </bottom>
        <horizontal style="thin">
          <color rgb="FF95B3D7"/>
        </horizontal>
      </border>
    </dxf>
  </dxfs>
  <tableStyles count="6" defaultTableStyle="TableStyleMedium2" defaultPivotStyle="PivotStyleLight16">
    <tableStyle name="TableStyleMedium2 2" pivot="0" count="7">
      <tableStyleElement type="wholeTable" dxfId="66"/>
      <tableStyleElement type="headerRow" dxfId="65"/>
      <tableStyleElement type="totalRow" dxfId="64"/>
      <tableStyleElement type="firstColumn" dxfId="63"/>
      <tableStyleElement type="lastColumn" dxfId="62"/>
      <tableStyleElement type="firstRowStripe" dxfId="61"/>
      <tableStyleElement type="firstColumnStripe" dxfId="60"/>
    </tableStyle>
    <tableStyle name="TableStyleMedium2 3" pivot="0" count="7">
      <tableStyleElement type="wholeTable" dxfId="59"/>
      <tableStyleElement type="headerRow" dxfId="58"/>
      <tableStyleElement type="totalRow" dxfId="57"/>
      <tableStyleElement type="firstColumn" dxfId="56"/>
      <tableStyleElement type="lastColumn" dxfId="55"/>
      <tableStyleElement type="firstRowStripe" dxfId="54"/>
      <tableStyleElement type="firstColumnStripe" dxfId="53"/>
    </tableStyle>
    <tableStyle name="TableStyleLight16 2" pivot="0" count="7">
      <tableStyleElement type="wholeTable" dxfId="52"/>
      <tableStyleElement type="headerRow" dxfId="51"/>
      <tableStyleElement type="totalRow" dxfId="50"/>
      <tableStyleElement type="firstColumn" dxfId="49"/>
      <tableStyleElement type="lastColumn" dxfId="48"/>
      <tableStyleElement type="firstRowStripe" dxfId="47"/>
      <tableStyleElement type="firstColumnStripe" dxfId="46"/>
    </tableStyle>
    <tableStyle name="TableStyleLight17 2" pivot="0" count="7">
      <tableStyleElement type="wholeTable" dxfId="45"/>
      <tableStyleElement type="headerRow" dxfId="44"/>
      <tableStyleElement type="totalRow" dxfId="43"/>
      <tableStyleElement type="firstColumn" dxfId="42"/>
      <tableStyleElement type="lastColumn" dxfId="41"/>
      <tableStyleElement type="firstRowStripe" dxfId="40"/>
      <tableStyleElement type="firstColumnStripe" dxfId="39"/>
    </tableStyle>
    <tableStyle name="TableStyleLight18 2" pivot="0" count="7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</tableStyle>
    <tableStyle name="TableStyleMedium7 2" pivot="0" count="7">
      <tableStyleElement type="wholeTable" dxfId="31"/>
      <tableStyleElement type="headerRow" dxfId="30"/>
      <tableStyleElement type="totalRow" dxfId="29"/>
      <tableStyleElement type="firstColumn" dxfId="28"/>
      <tableStyleElement type="lastColumn" dxfId="27"/>
      <tableStyleElement type="firstRowStripe" dxfId="26"/>
      <tableStyleElement type="firstColumnStripe" dxfId="25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200025</xdr:colOff>
          <xdr:row>74</xdr:row>
          <xdr:rowOff>9525</xdr:rowOff>
        </xdr:from>
        <xdr:to>
          <xdr:col>7</xdr:col>
          <xdr:colOff>657225</xdr:colOff>
          <xdr:row>75</xdr:row>
          <xdr:rowOff>0</xdr:rowOff>
        </xdr:to>
        <xdr:sp macro="" textlink="">
          <xdr:nvSpPr>
            <xdr:cNvPr id="1026" name="Show_CatalegSolucions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G/OQUAL/Assignaci&#243;%20NAQ_13041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tsdmoia.ctti.local\Inventari\Fitxes%20de%20Projecte\0988%20Fitxa%20Projectes%20TEI%20V2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espinos/AppData/Local/Microsoft/Windows/Temporary%20Internet%20Files/Content.Outlook/JY4D97MN/C&#224;lcul%20NAQ%20v1%202%20(5)%20(2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DUCCIO"/>
      <sheetName val="TAULA_VALORS_CRITERIS"/>
      <sheetName val="TAULA_CRITERIS"/>
      <sheetName val="DADES_MESTRES"/>
      <sheetName val="Assignació NAQ_130415"/>
    </sheetNames>
    <sheetDataSet>
      <sheetData sheetId="0"/>
      <sheetData sheetId="1"/>
      <sheetData sheetId="2"/>
      <sheetData sheetId="3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acterització"/>
      <sheetName val="Quadre Econòmic"/>
      <sheetName val="Valors"/>
      <sheetName val="Tarifes"/>
      <sheetName val="Fitxa x Inventari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AQ Solució"/>
      <sheetName val="Dades Mestres"/>
      <sheetName val="Càlcul NAQ v1 2 (5) (2)"/>
    </sheetNames>
    <sheetDataSet>
      <sheetData sheetId="0"/>
      <sheetData sheetId="1"/>
      <sheetData sheetId="2" refreshError="1"/>
    </sheetDataSet>
  </externalBook>
</externalLink>
</file>

<file path=xl/tables/table1.xml><?xml version="1.0" encoding="utf-8"?>
<table xmlns="http://schemas.openxmlformats.org/spreadsheetml/2006/main" id="1" name="Taula_NAQ" displayName="Taula_NAQ" ref="A6:J13" totalsRowCount="1" headerRowDxfId="24" dataDxfId="22" totalsRowDxfId="21" headerRowBorderDxfId="23" totalsRowBorderDxfId="20">
  <autoFilter ref="A6:J12"/>
  <sortState ref="A7:J12">
    <sortCondition ref="A4:A10"/>
  </sortState>
  <tableColumns count="10">
    <tableColumn id="10" name="Codi" dataDxfId="19" totalsRowDxfId="18"/>
    <tableColumn id="15" name="Criteri" dataDxfId="17" totalsRowDxfId="16"/>
    <tableColumn id="3" name="Descripció" dataDxfId="15" totalsRowDxfId="14"/>
    <tableColumn id="13" name="Directrius" dataDxfId="13" totalsRowDxfId="12"/>
    <tableColumn id="11" name="Pes" dataDxfId="11" totalsRowDxfId="10"/>
    <tableColumn id="5" name="Determinant?" dataDxfId="9" totalsRowDxfId="8"/>
    <tableColumn id="2" name="Valor_x000a_assignat" dataDxfId="7" totalsRowDxfId="6"/>
    <tableColumn id="1" name="Justificació" dataDxfId="5" totalsRowDxfId="4"/>
    <tableColumn id="6" name="Valor Ponderat" totalsRowFunction="custom" dataDxfId="3" totalsRowDxfId="2">
      <calculatedColumnFormula>Taula_NAQ[[#This Row],[Valor
assignat]]*Taula_NAQ[[#This Row],[Pes]]/SUM(Taula_NAQ[Pes])</calculatedColumnFormula>
      <totalsRowFormula>MAX(SUM(Taula_NAQ[Valor Ponderat]),Taula_NAQ[Valor Mínim])</totalsRowFormula>
    </tableColumn>
    <tableColumn id="7" name="Valor Mínim" dataDxfId="1" totalsRowDxfId="0">
      <calculatedColumnFormula>Taula_NAQ[[#This Row],[Valor
assignat]]*Taula_NAQ[[#This Row],[Determinant?]]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portic.ctti.gencat.cat/documentacio/ctti/Documents%20compartits/Forms/Vista%20PorTIC.aspx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ull2">
    <outlinePr summaryBelow="0"/>
    <pageSetUpPr autoPageBreaks="0" fitToPage="1"/>
  </sheetPr>
  <dimension ref="A1:Q13"/>
  <sheetViews>
    <sheetView tabSelected="1" zoomScale="90" zoomScaleNormal="90" workbookViewId="0">
      <selection activeCell="C10" sqref="C10:J10"/>
    </sheetView>
  </sheetViews>
  <sheetFormatPr baseColWidth="10" defaultColWidth="9.140625" defaultRowHeight="15"/>
  <cols>
    <col min="1" max="1" width="4.85546875" style="7" customWidth="1"/>
    <col min="2" max="2" width="22.85546875" style="7" customWidth="1"/>
    <col min="3" max="3" width="9.140625" style="7"/>
    <col min="4" max="4" width="11.140625" style="7" customWidth="1"/>
    <col min="5" max="6" width="9.140625" style="7"/>
    <col min="7" max="7" width="7.42578125" style="7" customWidth="1"/>
    <col min="8" max="8" width="11.5703125" style="7" customWidth="1"/>
    <col min="9" max="9" width="17" style="7" customWidth="1"/>
    <col min="10" max="10" width="15.42578125" style="7" customWidth="1"/>
    <col min="11" max="11" width="20.85546875" style="7" customWidth="1"/>
    <col min="12" max="16384" width="9.140625" style="7"/>
  </cols>
  <sheetData>
    <row r="1" spans="1:17" ht="27" customHeight="1">
      <c r="A1" s="22" t="s">
        <v>745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7" ht="10.5" customHeight="1">
      <c r="A2" s="6"/>
      <c r="B2" s="6"/>
      <c r="C2" s="6"/>
      <c r="D2" s="6"/>
      <c r="E2" s="6"/>
      <c r="F2" s="6"/>
      <c r="G2" s="6"/>
      <c r="H2" s="6"/>
      <c r="I2" s="6"/>
      <c r="J2" s="6"/>
    </row>
    <row r="3" spans="1:17" ht="30" customHeight="1">
      <c r="B3" s="141" t="s">
        <v>748</v>
      </c>
      <c r="C3" s="212"/>
      <c r="D3" s="213"/>
      <c r="E3" s="213"/>
      <c r="F3" s="213"/>
      <c r="G3" s="213"/>
      <c r="H3" s="213"/>
      <c r="I3" s="213"/>
      <c r="J3" s="214"/>
    </row>
    <row r="4" spans="1:17" ht="5.25" customHeight="1">
      <c r="B4" s="20"/>
      <c r="C4" s="8"/>
      <c r="D4" s="8"/>
      <c r="E4" s="18"/>
      <c r="F4" s="18"/>
      <c r="G4" s="18"/>
      <c r="H4" s="18"/>
      <c r="I4" s="18"/>
      <c r="J4" s="8"/>
    </row>
    <row r="5" spans="1:17" ht="6" customHeight="1">
      <c r="D5" s="18"/>
      <c r="E5" s="18"/>
      <c r="F5" s="18"/>
      <c r="G5" s="18"/>
      <c r="H5" s="18"/>
      <c r="I5" s="18"/>
    </row>
    <row r="6" spans="1:17" ht="30" customHeight="1">
      <c r="B6" s="142" t="s">
        <v>746</v>
      </c>
      <c r="C6" s="212"/>
      <c r="D6" s="213"/>
      <c r="E6" s="213"/>
      <c r="F6" s="213"/>
      <c r="G6" s="213"/>
      <c r="H6" s="213"/>
      <c r="I6" s="213"/>
      <c r="J6" s="214"/>
      <c r="L6" s="11"/>
      <c r="M6" s="11"/>
      <c r="N6" s="11"/>
      <c r="O6" s="11"/>
      <c r="P6" s="11"/>
      <c r="Q6" s="11"/>
    </row>
    <row r="7" spans="1:17" ht="17.25" customHeight="1">
      <c r="D7" s="140"/>
      <c r="E7" s="13"/>
      <c r="F7" s="13"/>
      <c r="G7" s="13"/>
      <c r="H7" s="13"/>
      <c r="I7" s="13"/>
      <c r="J7" s="13"/>
    </row>
    <row r="8" spans="1:17" ht="27" customHeight="1">
      <c r="A8" s="22" t="s">
        <v>747</v>
      </c>
      <c r="B8" s="1"/>
      <c r="C8" s="1"/>
      <c r="D8" s="1"/>
      <c r="E8" s="1"/>
      <c r="F8" s="1"/>
      <c r="G8" s="1"/>
      <c r="H8" s="1"/>
      <c r="I8" s="1"/>
      <c r="J8" s="1"/>
      <c r="K8" s="1"/>
    </row>
    <row r="9" spans="1:17" ht="10.5" customHeight="1">
      <c r="A9" s="6"/>
      <c r="B9" s="6"/>
      <c r="C9" s="6"/>
      <c r="D9" s="6"/>
      <c r="E9" s="6"/>
      <c r="F9" s="6"/>
      <c r="G9" s="6"/>
      <c r="H9" s="6"/>
      <c r="I9" s="6"/>
      <c r="J9" s="6"/>
    </row>
    <row r="10" spans="1:17" ht="30" customHeight="1">
      <c r="B10" s="141" t="s">
        <v>748</v>
      </c>
      <c r="C10" s="212"/>
      <c r="D10" s="213"/>
      <c r="E10" s="213"/>
      <c r="F10" s="213"/>
      <c r="G10" s="213"/>
      <c r="H10" s="213"/>
      <c r="I10" s="213"/>
      <c r="J10" s="214"/>
    </row>
    <row r="11" spans="1:17" s="8" customFormat="1" ht="5.25" customHeight="1">
      <c r="B11" s="143"/>
      <c r="E11" s="18"/>
      <c r="F11" s="18"/>
      <c r="G11" s="18"/>
      <c r="H11" s="18"/>
      <c r="I11" s="18"/>
    </row>
    <row r="12" spans="1:17" s="8" customFormat="1" ht="6" customHeight="1">
      <c r="D12" s="18"/>
      <c r="E12" s="18"/>
      <c r="F12" s="18"/>
      <c r="G12" s="18"/>
      <c r="H12" s="18"/>
      <c r="I12" s="18"/>
    </row>
    <row r="13" spans="1:17" ht="30" customHeight="1">
      <c r="B13" s="142" t="s">
        <v>746</v>
      </c>
      <c r="C13" s="212"/>
      <c r="D13" s="213"/>
      <c r="E13" s="213"/>
      <c r="F13" s="213"/>
      <c r="G13" s="213"/>
      <c r="H13" s="213"/>
      <c r="I13" s="213"/>
      <c r="J13" s="214"/>
      <c r="L13" s="11"/>
      <c r="M13" s="11"/>
      <c r="N13" s="11"/>
      <c r="O13" s="11"/>
      <c r="P13" s="11"/>
      <c r="Q13" s="11"/>
    </row>
  </sheetData>
  <dataConsolidate/>
  <mergeCells count="4">
    <mergeCell ref="C3:J3"/>
    <mergeCell ref="C10:J10"/>
    <mergeCell ref="C13:J13"/>
    <mergeCell ref="C6:J6"/>
  </mergeCells>
  <dataValidations count="1">
    <dataValidation allowBlank="1" showInputMessage="1" showErrorMessage="1" promptTitle="Unitat / Ens" prompt="Indiqueu el nom de l'ens o la unitat dins el Departament, que és promotora del projecte" sqref="D5:I5 D12:I12"/>
  </dataValidations>
  <pageMargins left="0.11811023622047245" right="0.11811023622047245" top="0.15748031496062992" bottom="0.35433070866141736" header="0.31496062992125984" footer="0.31496062992125984"/>
  <pageSetup paperSize="9" scale="71" fitToHeight="0" orientation="portrait" r:id="rId1"/>
  <headerFooter>
    <oddFooter>&amp;L&amp;F // &amp;A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ll1">
    <outlinePr summaryBelow="0"/>
    <pageSetUpPr fitToPage="1"/>
  </sheetPr>
  <dimension ref="A1:Q122"/>
  <sheetViews>
    <sheetView zoomScale="90" zoomScaleNormal="90" workbookViewId="0">
      <selection activeCell="C3" sqref="C3"/>
    </sheetView>
  </sheetViews>
  <sheetFormatPr baseColWidth="10" defaultColWidth="9.140625" defaultRowHeight="15"/>
  <cols>
    <col min="1" max="1" width="4.85546875" style="7" customWidth="1"/>
    <col min="2" max="2" width="22.85546875" style="7" customWidth="1"/>
    <col min="3" max="3" width="9.140625" style="7"/>
    <col min="4" max="4" width="11.140625" style="7" customWidth="1"/>
    <col min="5" max="6" width="9.140625" style="7"/>
    <col min="7" max="7" width="7.42578125" style="7" customWidth="1"/>
    <col min="8" max="8" width="11.5703125" style="7" customWidth="1"/>
    <col min="9" max="9" width="17" style="7" customWidth="1"/>
    <col min="10" max="10" width="15.42578125" style="7" customWidth="1"/>
    <col min="11" max="11" width="20.85546875" style="7" customWidth="1"/>
    <col min="12" max="16384" width="9.140625" style="7"/>
  </cols>
  <sheetData>
    <row r="1" spans="1:17" ht="27" customHeight="1">
      <c r="A1" s="22" t="s">
        <v>8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7" ht="10.5" customHeight="1">
      <c r="A2" s="6"/>
      <c r="B2" s="6"/>
      <c r="C2" s="6"/>
      <c r="D2" s="6"/>
      <c r="E2" s="6"/>
      <c r="F2" s="6"/>
      <c r="G2" s="6"/>
      <c r="H2" s="6"/>
      <c r="I2" s="6"/>
      <c r="J2" s="6"/>
    </row>
    <row r="3" spans="1:17" ht="24.75" customHeight="1">
      <c r="B3" s="28" t="s">
        <v>0</v>
      </c>
      <c r="C3" s="37" t="s">
        <v>37</v>
      </c>
      <c r="D3" s="8"/>
      <c r="E3" s="240" t="str">
        <f>VLOOKUP(C3,Valors!A2:C13,3,FALSE)</f>
        <v>Departament d'Empresa i Ocupació</v>
      </c>
      <c r="F3" s="240"/>
      <c r="G3" s="240"/>
      <c r="H3" s="240"/>
      <c r="I3" s="240"/>
      <c r="J3" s="240"/>
    </row>
    <row r="4" spans="1:17" ht="5.25" customHeight="1">
      <c r="B4" s="20"/>
      <c r="C4" s="8"/>
      <c r="D4" s="8"/>
      <c r="E4" s="9"/>
      <c r="F4" s="9"/>
      <c r="G4" s="9"/>
      <c r="H4" s="9"/>
      <c r="I4" s="9"/>
    </row>
    <row r="5" spans="1:17" ht="30.75" customHeight="1">
      <c r="B5" s="28" t="s">
        <v>1</v>
      </c>
      <c r="C5" s="232"/>
      <c r="D5" s="232"/>
      <c r="E5" s="232"/>
      <c r="F5" s="232"/>
      <c r="G5" s="232"/>
      <c r="H5" s="232"/>
      <c r="I5" s="232"/>
      <c r="J5" s="233"/>
    </row>
    <row r="6" spans="1:17" ht="6" customHeight="1">
      <c r="D6" s="10"/>
      <c r="E6" s="10"/>
      <c r="F6" s="10"/>
      <c r="G6" s="10"/>
      <c r="H6" s="10"/>
      <c r="I6" s="10"/>
    </row>
    <row r="7" spans="1:17" ht="31.5" customHeight="1">
      <c r="B7" s="38" t="s">
        <v>2</v>
      </c>
      <c r="C7" s="232"/>
      <c r="D7" s="232"/>
      <c r="E7" s="232"/>
      <c r="F7" s="232"/>
      <c r="G7" s="232"/>
      <c r="H7" s="232"/>
      <c r="I7" s="232"/>
      <c r="J7" s="233"/>
      <c r="L7" s="11"/>
      <c r="M7" s="11"/>
      <c r="N7" s="11"/>
      <c r="O7" s="11"/>
      <c r="P7" s="11"/>
      <c r="Q7" s="11"/>
    </row>
    <row r="8" spans="1:17" ht="4.5" customHeight="1">
      <c r="D8" s="12"/>
      <c r="E8" s="13"/>
      <c r="F8" s="13"/>
      <c r="G8" s="13"/>
      <c r="H8" s="13"/>
      <c r="I8" s="13"/>
      <c r="J8" s="13"/>
    </row>
    <row r="9" spans="1:17" ht="30">
      <c r="B9" s="26" t="s">
        <v>60</v>
      </c>
      <c r="C9" s="241"/>
      <c r="D9" s="221"/>
    </row>
    <row r="10" spans="1:17" ht="7.5" customHeight="1"/>
    <row r="11" spans="1:17" ht="7.5" customHeight="1"/>
    <row r="12" spans="1:17" ht="7.5" customHeight="1"/>
    <row r="13" spans="1:17" ht="27" customHeight="1">
      <c r="A13" s="22" t="s">
        <v>9</v>
      </c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7" ht="7.5" customHeight="1">
      <c r="A14" s="6"/>
      <c r="B14" s="6"/>
      <c r="C14" s="6"/>
      <c r="D14" s="6"/>
      <c r="E14" s="6"/>
      <c r="F14" s="6"/>
      <c r="G14" s="6"/>
      <c r="H14" s="6"/>
      <c r="I14" s="6"/>
      <c r="J14" s="6"/>
    </row>
    <row r="15" spans="1:17" ht="46.5" customHeight="1">
      <c r="B15" s="27" t="s">
        <v>3</v>
      </c>
      <c r="C15" s="220"/>
      <c r="D15" s="221"/>
      <c r="I15" s="234" t="s">
        <v>64</v>
      </c>
      <c r="J15" s="234"/>
      <c r="K15" s="88" t="s">
        <v>64</v>
      </c>
    </row>
    <row r="16" spans="1:17" ht="4.5" customHeight="1">
      <c r="I16" s="19"/>
      <c r="J16" s="19"/>
      <c r="K16" s="34"/>
    </row>
    <row r="17" spans="2:11" ht="27.75" customHeight="1">
      <c r="B17" s="32" t="s">
        <v>5</v>
      </c>
      <c r="C17" s="232"/>
      <c r="D17" s="232"/>
      <c r="E17" s="232"/>
      <c r="F17" s="232"/>
      <c r="G17" s="233"/>
      <c r="I17" s="234" t="s">
        <v>7</v>
      </c>
      <c r="J17" s="234"/>
      <c r="K17" s="33"/>
    </row>
    <row r="18" spans="2:11" ht="3.75" customHeight="1">
      <c r="C18" s="9"/>
      <c r="D18" s="9"/>
      <c r="E18" s="9"/>
      <c r="F18" s="9"/>
      <c r="G18" s="9"/>
      <c r="I18" s="19"/>
      <c r="J18" s="19"/>
      <c r="K18" s="35"/>
    </row>
    <row r="19" spans="2:11" ht="3" customHeight="1">
      <c r="C19" s="9"/>
      <c r="D19" s="9"/>
      <c r="J19" s="8"/>
      <c r="K19" s="34"/>
    </row>
    <row r="20" spans="2:11" ht="32.25" customHeight="1">
      <c r="B20" s="31" t="s">
        <v>394</v>
      </c>
      <c r="C20" s="232"/>
      <c r="D20" s="232"/>
      <c r="E20" s="232"/>
      <c r="F20" s="232"/>
      <c r="G20" s="232"/>
      <c r="H20" s="232"/>
      <c r="I20" s="232"/>
      <c r="J20" s="233"/>
      <c r="K20" s="34"/>
    </row>
    <row r="21" spans="2:11" ht="3.75" customHeight="1">
      <c r="C21" s="18"/>
      <c r="D21" s="18"/>
      <c r="J21" s="8"/>
      <c r="K21" s="34"/>
    </row>
    <row r="22" spans="2:11" ht="34.5" customHeight="1">
      <c r="B22" s="100" t="s">
        <v>399</v>
      </c>
      <c r="C22" s="220"/>
      <c r="D22" s="220"/>
      <c r="E22" s="220"/>
      <c r="F22" s="221"/>
      <c r="I22" s="235" t="s">
        <v>20</v>
      </c>
      <c r="J22" s="235"/>
      <c r="K22" s="101"/>
    </row>
    <row r="23" spans="2:11" ht="3.75" customHeight="1">
      <c r="C23" s="18"/>
      <c r="D23" s="18"/>
      <c r="I23" s="20"/>
      <c r="J23" s="30"/>
      <c r="K23" s="34"/>
    </row>
    <row r="24" spans="2:11" ht="29.25" customHeight="1">
      <c r="B24" s="36" t="s">
        <v>16</v>
      </c>
      <c r="C24" s="220"/>
      <c r="D24" s="221"/>
      <c r="I24" s="235" t="s">
        <v>17</v>
      </c>
      <c r="J24" s="235"/>
      <c r="K24" s="33"/>
    </row>
    <row r="25" spans="2:11" ht="6" customHeight="1">
      <c r="C25" s="18"/>
      <c r="D25" s="18"/>
      <c r="I25" s="20"/>
      <c r="J25" s="30"/>
      <c r="K25" s="34"/>
    </row>
    <row r="26" spans="2:11" ht="30" customHeight="1">
      <c r="B26" s="31" t="s">
        <v>18</v>
      </c>
      <c r="C26" s="220"/>
      <c r="D26" s="221"/>
      <c r="I26" s="235" t="s">
        <v>213</v>
      </c>
      <c r="J26" s="235"/>
      <c r="K26" s="90"/>
    </row>
    <row r="27" spans="2:11" ht="6" customHeight="1">
      <c r="C27" s="18"/>
      <c r="D27" s="18"/>
      <c r="I27" s="20"/>
      <c r="J27" s="30"/>
      <c r="K27" s="34"/>
    </row>
    <row r="28" spans="2:11" ht="31.5" customHeight="1">
      <c r="B28" s="100" t="s">
        <v>400</v>
      </c>
      <c r="C28" s="220"/>
      <c r="D28" s="221"/>
      <c r="I28" s="235" t="s">
        <v>779</v>
      </c>
      <c r="J28" s="235"/>
      <c r="K28" s="33"/>
    </row>
    <row r="29" spans="2:11" ht="6" customHeight="1">
      <c r="C29" s="18"/>
      <c r="D29" s="18"/>
      <c r="I29" s="20"/>
      <c r="J29" s="30"/>
      <c r="K29" s="34"/>
    </row>
    <row r="30" spans="2:11" ht="34.5" customHeight="1">
      <c r="B30" s="100" t="s">
        <v>24</v>
      </c>
      <c r="C30" s="220"/>
      <c r="D30" s="221"/>
      <c r="E30" s="236" t="str">
        <f>IFERROR(VLOOKUP(C30,Valors!A103:B106,2,FALSE),"")</f>
        <v/>
      </c>
      <c r="F30" s="237"/>
      <c r="G30" s="237"/>
      <c r="H30" s="237"/>
      <c r="I30" s="235" t="s">
        <v>401</v>
      </c>
      <c r="J30" s="235"/>
      <c r="K30" s="97"/>
    </row>
    <row r="31" spans="2:11" ht="6" customHeight="1">
      <c r="C31" s="18"/>
      <c r="D31" s="18"/>
      <c r="I31" s="20"/>
      <c r="J31" s="30"/>
      <c r="K31" s="34"/>
    </row>
    <row r="32" spans="2:11" ht="66.75" customHeight="1">
      <c r="B32" s="100" t="s">
        <v>214</v>
      </c>
      <c r="C32" s="238"/>
      <c r="D32" s="239"/>
      <c r="I32" s="235" t="s">
        <v>27</v>
      </c>
      <c r="J32" s="235"/>
      <c r="K32" s="33"/>
    </row>
    <row r="33" spans="2:11" ht="6" customHeight="1">
      <c r="B33" s="24"/>
      <c r="C33" s="18"/>
      <c r="D33" s="18"/>
      <c r="I33" s="20"/>
      <c r="J33" s="30"/>
      <c r="K33" s="34"/>
    </row>
    <row r="34" spans="2:11" ht="36" customHeight="1">
      <c r="B34" s="32" t="s">
        <v>25</v>
      </c>
      <c r="C34" s="220"/>
      <c r="D34" s="221"/>
      <c r="I34" s="235" t="s">
        <v>26</v>
      </c>
      <c r="J34" s="235"/>
      <c r="K34" s="33"/>
    </row>
    <row r="35" spans="2:11" ht="4.5" customHeight="1">
      <c r="C35" s="18"/>
      <c r="D35" s="18"/>
      <c r="I35" s="20"/>
      <c r="J35" s="30"/>
      <c r="K35" s="34"/>
    </row>
    <row r="36" spans="2:11" ht="4.5" customHeight="1">
      <c r="C36" s="18"/>
      <c r="D36" s="18"/>
      <c r="I36" s="14"/>
      <c r="J36" s="18"/>
      <c r="K36" s="34"/>
    </row>
    <row r="37" spans="2:11" ht="30.75" customHeight="1">
      <c r="B37" s="31" t="s">
        <v>137</v>
      </c>
      <c r="C37" s="232"/>
      <c r="D37" s="232"/>
      <c r="E37" s="232"/>
      <c r="F37" s="232"/>
      <c r="G37" s="232"/>
      <c r="H37" s="232"/>
      <c r="I37" s="232"/>
      <c r="J37" s="233"/>
      <c r="K37" s="34"/>
    </row>
    <row r="38" spans="2:11" ht="3.75" customHeight="1">
      <c r="B38" s="19"/>
      <c r="C38" s="18"/>
      <c r="D38" s="18"/>
      <c r="I38" s="14"/>
      <c r="J38" s="18"/>
      <c r="K38" s="34"/>
    </row>
    <row r="39" spans="2:11" ht="30" customHeight="1">
      <c r="B39" s="31" t="s">
        <v>10</v>
      </c>
      <c r="C39" s="238"/>
      <c r="D39" s="239"/>
      <c r="I39" s="235" t="s">
        <v>61</v>
      </c>
      <c r="J39" s="235"/>
      <c r="K39" s="66"/>
    </row>
    <row r="40" spans="2:11" ht="6" customHeight="1">
      <c r="B40" s="19"/>
      <c r="C40" s="18"/>
      <c r="D40" s="18"/>
      <c r="I40" s="20"/>
      <c r="J40" s="30"/>
      <c r="K40" s="34"/>
    </row>
    <row r="41" spans="2:11" ht="33.75" customHeight="1">
      <c r="B41" s="31" t="s">
        <v>147</v>
      </c>
      <c r="C41" s="220"/>
      <c r="D41" s="221"/>
      <c r="I41" s="235" t="s">
        <v>11</v>
      </c>
      <c r="J41" s="235"/>
      <c r="K41" s="39"/>
    </row>
    <row r="42" spans="2:11" ht="6" customHeight="1">
      <c r="B42" s="19"/>
      <c r="C42" s="18"/>
      <c r="D42" s="18"/>
      <c r="I42" s="20"/>
      <c r="J42" s="30"/>
      <c r="K42" s="34"/>
    </row>
    <row r="43" spans="2:11" ht="35.25" customHeight="1">
      <c r="B43" s="31" t="s">
        <v>12</v>
      </c>
      <c r="C43" s="220"/>
      <c r="D43" s="221"/>
      <c r="I43" s="235" t="s">
        <v>159</v>
      </c>
      <c r="J43" s="235"/>
      <c r="K43" s="91"/>
    </row>
    <row r="44" spans="2:11" ht="6" customHeight="1">
      <c r="B44" s="19"/>
      <c r="C44" s="18"/>
      <c r="D44" s="18"/>
      <c r="I44" s="20"/>
      <c r="J44" s="30"/>
      <c r="K44" s="34"/>
    </row>
    <row r="45" spans="2:11" ht="6" customHeight="1">
      <c r="C45" s="18"/>
      <c r="D45" s="18"/>
      <c r="I45" s="14"/>
      <c r="J45" s="18"/>
    </row>
    <row r="46" spans="2:11" ht="35.25" customHeight="1">
      <c r="B46" s="89" t="s">
        <v>30</v>
      </c>
      <c r="C46" s="220"/>
      <c r="D46" s="221"/>
      <c r="F46" s="20" t="str">
        <f>IFERROR(VLOOKUP(C46,Valors!A189:B192,2,FALSE),"")</f>
        <v/>
      </c>
    </row>
    <row r="47" spans="2:11" ht="6" customHeight="1">
      <c r="B47" s="20"/>
      <c r="C47" s="30"/>
      <c r="D47" s="30"/>
      <c r="F47" s="14"/>
      <c r="I47" s="14"/>
      <c r="J47" s="18"/>
    </row>
    <row r="48" spans="2:11" ht="34.5" customHeight="1">
      <c r="B48" s="45" t="s">
        <v>35</v>
      </c>
      <c r="C48" s="232"/>
      <c r="D48" s="232"/>
      <c r="E48" s="232"/>
      <c r="F48" s="232"/>
      <c r="G48" s="232"/>
      <c r="H48" s="232"/>
      <c r="I48" s="232"/>
      <c r="J48" s="233"/>
    </row>
    <row r="49" spans="1:11" ht="6" customHeight="1">
      <c r="B49" s="20"/>
      <c r="C49" s="30"/>
      <c r="D49" s="30"/>
      <c r="F49" s="20"/>
      <c r="H49" s="14"/>
      <c r="I49" s="18"/>
    </row>
    <row r="50" spans="1:11" ht="18" customHeight="1">
      <c r="B50" s="29" t="s">
        <v>273</v>
      </c>
      <c r="C50" s="242" t="s">
        <v>0</v>
      </c>
      <c r="D50" s="228"/>
      <c r="E50" s="230" t="str">
        <f>IFERROR(VLOOKUP(C50,Valors!A195:B205,2,FALSE),"")</f>
        <v/>
      </c>
      <c r="F50" s="231"/>
      <c r="G50" s="231"/>
      <c r="H50" s="231"/>
      <c r="I50" s="216" t="s">
        <v>395</v>
      </c>
      <c r="J50" s="216"/>
      <c r="K50" s="228"/>
    </row>
    <row r="51" spans="1:11" ht="13.5" customHeight="1">
      <c r="B51" s="56"/>
      <c r="C51" s="243"/>
      <c r="D51" s="229"/>
      <c r="E51" s="166" t="str">
        <f>SUBSTITUTE(C50,"·","")</f>
        <v>Departament</v>
      </c>
      <c r="F51" s="20" t="str">
        <f>IFERROR(VLOOKUP(CONCATENATE(SUBSTITUTE('Caracterització v.3.0.1'!C50,"·",""),'Caracterització v.3.0.1'!C46),Tarifes!B3:F57,4,FALSE),"")</f>
        <v/>
      </c>
      <c r="I51" s="216"/>
      <c r="J51" s="216"/>
      <c r="K51" s="229"/>
    </row>
    <row r="52" spans="1:11" ht="6" customHeight="1">
      <c r="B52" s="20"/>
      <c r="C52" s="30"/>
      <c r="D52" s="30"/>
      <c r="I52" s="14"/>
      <c r="J52" s="18"/>
    </row>
    <row r="53" spans="1:11" ht="42" customHeight="1">
      <c r="B53" s="28" t="s">
        <v>743</v>
      </c>
      <c r="C53" s="220"/>
      <c r="D53" s="221"/>
      <c r="I53" s="235" t="s">
        <v>737</v>
      </c>
      <c r="J53" s="216"/>
      <c r="K53" s="137" t="str">
        <f t="array" ref="K53">IFERROR(INDEX(Bloc,MATCH(SUBSTITUTE(C50,"·","")&amp;K50,Lot&amp;Agrupacio_Funcional,0)),"")</f>
        <v/>
      </c>
    </row>
    <row r="54" spans="1:11" ht="6" customHeight="1"/>
    <row r="55" spans="1:11" ht="45" customHeight="1">
      <c r="I55" s="25" t="s">
        <v>734</v>
      </c>
      <c r="J55" s="25" t="s">
        <v>735</v>
      </c>
    </row>
    <row r="56" spans="1:11" ht="23.25" customHeight="1">
      <c r="B56" s="216" t="s">
        <v>215</v>
      </c>
      <c r="C56" s="216"/>
      <c r="D56" s="216"/>
      <c r="E56" s="216"/>
      <c r="F56" s="216"/>
      <c r="G56" s="216"/>
      <c r="H56" s="216"/>
      <c r="I56" s="42"/>
      <c r="J56" s="43"/>
    </row>
    <row r="57" spans="1:11" ht="3" customHeight="1">
      <c r="B57" s="20"/>
      <c r="C57" s="20"/>
      <c r="D57" s="20"/>
      <c r="E57" s="20"/>
      <c r="F57" s="20"/>
      <c r="G57" s="20"/>
      <c r="H57" s="20"/>
      <c r="I57" s="19"/>
      <c r="J57" s="19"/>
    </row>
    <row r="58" spans="1:11" ht="24" customHeight="1">
      <c r="B58" s="216" t="s">
        <v>216</v>
      </c>
      <c r="C58" s="216"/>
      <c r="D58" s="216"/>
      <c r="E58" s="216"/>
      <c r="F58" s="216"/>
      <c r="G58" s="216"/>
      <c r="H58" s="216"/>
      <c r="I58" s="42"/>
      <c r="J58" s="43"/>
    </row>
    <row r="59" spans="1:11" ht="16.5" customHeight="1"/>
    <row r="60" spans="1:11" ht="16.5" customHeight="1"/>
    <row r="61" spans="1:11" ht="16.5" customHeight="1">
      <c r="A61" s="22" t="s">
        <v>294</v>
      </c>
      <c r="B61" s="1"/>
      <c r="C61" s="1"/>
      <c r="D61" s="1"/>
      <c r="E61" s="1"/>
      <c r="F61" s="1"/>
      <c r="G61" s="1"/>
      <c r="H61" s="1"/>
      <c r="I61" s="1"/>
      <c r="J61" s="1"/>
      <c r="K61" s="1"/>
    </row>
    <row r="62" spans="1:11" ht="16.5" customHeight="1"/>
    <row r="63" spans="1:11" ht="30" customHeight="1">
      <c r="B63" s="100" t="s">
        <v>13</v>
      </c>
      <c r="C63" s="220"/>
      <c r="D63" s="221"/>
      <c r="I63" s="235" t="s">
        <v>14</v>
      </c>
      <c r="J63" s="235"/>
      <c r="K63" s="97"/>
    </row>
    <row r="64" spans="1:11" ht="16.5" customHeight="1">
      <c r="C64" s="18"/>
      <c r="D64" s="18"/>
      <c r="I64" s="14"/>
      <c r="J64" s="18"/>
    </row>
    <row r="65" spans="1:11" ht="16.5" customHeight="1">
      <c r="B65" s="98" t="s">
        <v>416</v>
      </c>
      <c r="C65" s="220"/>
      <c r="D65" s="221"/>
      <c r="I65" s="244" t="s">
        <v>418</v>
      </c>
      <c r="J65" s="244"/>
      <c r="K65" s="102"/>
    </row>
    <row r="66" spans="1:11" ht="16.5" customHeight="1"/>
    <row r="67" spans="1:11" ht="16.5" customHeight="1">
      <c r="B67" s="98" t="s">
        <v>417</v>
      </c>
      <c r="C67" s="220"/>
      <c r="D67" s="221"/>
      <c r="I67" s="244" t="s">
        <v>419</v>
      </c>
      <c r="J67" s="244"/>
      <c r="K67" s="102"/>
    </row>
    <row r="68" spans="1:11" ht="16.5" customHeight="1"/>
    <row r="69" spans="1:11" ht="30" customHeight="1">
      <c r="B69" s="99" t="s">
        <v>420</v>
      </c>
      <c r="C69" s="220"/>
      <c r="D69" s="221"/>
      <c r="I69" s="245" t="s">
        <v>421</v>
      </c>
      <c r="J69" s="245"/>
      <c r="K69" s="102"/>
    </row>
    <row r="70" spans="1:11" ht="16.5" customHeight="1"/>
    <row r="71" spans="1:11" ht="16.5" customHeight="1">
      <c r="B71" s="98" t="s">
        <v>15</v>
      </c>
      <c r="C71" s="232"/>
      <c r="D71" s="232"/>
      <c r="E71" s="232"/>
      <c r="F71" s="232"/>
      <c r="G71" s="232"/>
      <c r="H71" s="232"/>
      <c r="I71" s="232"/>
      <c r="J71" s="233"/>
    </row>
    <row r="72" spans="1:11" ht="16.5" customHeight="1"/>
    <row r="73" spans="1:11" ht="27" customHeight="1">
      <c r="A73" s="22" t="s">
        <v>209</v>
      </c>
      <c r="B73" s="1"/>
      <c r="C73" s="1"/>
      <c r="D73" s="1"/>
      <c r="E73" s="1"/>
      <c r="F73" s="1"/>
      <c r="G73" s="1"/>
      <c r="H73" s="1"/>
      <c r="I73" s="1"/>
      <c r="J73" s="1"/>
      <c r="K73" s="1"/>
    </row>
    <row r="74" spans="1:11" ht="4.5" customHeight="1">
      <c r="B74" s="24"/>
    </row>
    <row r="75" spans="1:11" ht="27.75" customHeight="1">
      <c r="B75" s="100" t="s">
        <v>415</v>
      </c>
      <c r="C75" s="220"/>
      <c r="D75" s="221"/>
      <c r="I75" s="225" t="s">
        <v>744</v>
      </c>
      <c r="J75" s="226"/>
      <c r="K75" s="227"/>
    </row>
    <row r="76" spans="1:11" ht="6" customHeight="1"/>
    <row r="77" spans="1:11" ht="30" customHeight="1">
      <c r="B77" s="41" t="s">
        <v>396</v>
      </c>
      <c r="C77" s="232"/>
      <c r="D77" s="232"/>
      <c r="E77" s="232"/>
      <c r="F77" s="232"/>
      <c r="G77" s="232"/>
      <c r="H77" s="232"/>
      <c r="I77" s="232"/>
      <c r="J77" s="233"/>
    </row>
    <row r="78" spans="1:11" ht="15.75" customHeight="1"/>
    <row r="79" spans="1:11" ht="27" customHeight="1">
      <c r="A79" s="22" t="s">
        <v>402</v>
      </c>
      <c r="B79" s="1"/>
      <c r="C79" s="1"/>
      <c r="D79" s="1"/>
      <c r="E79" s="1"/>
      <c r="F79" s="1"/>
      <c r="G79" s="1"/>
      <c r="H79" s="1"/>
      <c r="I79" s="1"/>
      <c r="J79" s="1"/>
      <c r="K79" s="1"/>
    </row>
    <row r="80" spans="1:11" ht="15.75" customHeight="1"/>
    <row r="81" spans="1:11" ht="36.75" customHeight="1">
      <c r="B81" s="99" t="s">
        <v>407</v>
      </c>
      <c r="C81" s="220"/>
      <c r="D81" s="221"/>
      <c r="I81" s="235" t="s">
        <v>408</v>
      </c>
      <c r="J81" s="235"/>
      <c r="K81" s="97"/>
    </row>
    <row r="82" spans="1:11" ht="15.75" customHeight="1"/>
    <row r="83" spans="1:11" ht="36" customHeight="1">
      <c r="B83" s="99" t="s">
        <v>409</v>
      </c>
      <c r="C83" s="220"/>
      <c r="D83" s="221"/>
      <c r="I83" s="235" t="s">
        <v>412</v>
      </c>
      <c r="J83" s="235"/>
      <c r="K83" s="97"/>
    </row>
    <row r="84" spans="1:11" ht="15.75" customHeight="1"/>
    <row r="85" spans="1:11" ht="15.75" customHeight="1">
      <c r="B85" s="23" t="s">
        <v>403</v>
      </c>
      <c r="C85" s="222" t="s">
        <v>404</v>
      </c>
      <c r="D85" s="223"/>
      <c r="E85" s="224"/>
      <c r="F85" s="222" t="s">
        <v>790</v>
      </c>
      <c r="G85" s="224"/>
      <c r="H85" s="222" t="s">
        <v>405</v>
      </c>
      <c r="I85" s="224"/>
      <c r="J85" s="222" t="s">
        <v>406</v>
      </c>
      <c r="K85" s="224"/>
    </row>
    <row r="86" spans="1:11" ht="15.75" customHeight="1">
      <c r="B86" s="17"/>
      <c r="C86" s="217"/>
      <c r="D86" s="218"/>
      <c r="E86" s="219"/>
      <c r="F86" s="217"/>
      <c r="G86" s="219"/>
      <c r="H86" s="217"/>
      <c r="I86" s="219"/>
      <c r="J86" s="217"/>
      <c r="K86" s="219"/>
    </row>
    <row r="87" spans="1:11" ht="15.75" customHeight="1">
      <c r="B87" s="17"/>
      <c r="C87" s="94"/>
      <c r="D87" s="95"/>
      <c r="E87" s="96"/>
      <c r="F87" s="217"/>
      <c r="G87" s="219"/>
      <c r="H87" s="217"/>
      <c r="I87" s="219"/>
      <c r="J87" s="217"/>
      <c r="K87" s="219"/>
    </row>
    <row r="88" spans="1:11" ht="15.75" customHeight="1">
      <c r="B88" s="17"/>
      <c r="C88" s="94"/>
      <c r="D88" s="95"/>
      <c r="E88" s="96"/>
      <c r="F88" s="217"/>
      <c r="G88" s="219"/>
      <c r="H88" s="217"/>
      <c r="I88" s="219"/>
      <c r="J88" s="217"/>
      <c r="K88" s="219"/>
    </row>
    <row r="89" spans="1:11" ht="15.75" customHeight="1">
      <c r="B89" s="17"/>
      <c r="C89" s="94"/>
      <c r="D89" s="95"/>
      <c r="E89" s="96"/>
      <c r="F89" s="217"/>
      <c r="G89" s="219"/>
      <c r="H89" s="217"/>
      <c r="I89" s="219"/>
      <c r="J89" s="217"/>
      <c r="K89" s="219"/>
    </row>
    <row r="90" spans="1:11" ht="15.75" customHeight="1">
      <c r="B90" s="17"/>
      <c r="C90" s="94"/>
      <c r="D90" s="95"/>
      <c r="E90" s="96"/>
      <c r="F90" s="217"/>
      <c r="G90" s="219"/>
      <c r="H90" s="217"/>
      <c r="I90" s="219"/>
      <c r="J90" s="217"/>
      <c r="K90" s="219"/>
    </row>
    <row r="91" spans="1:11" ht="15.75" customHeight="1">
      <c r="B91" s="17"/>
      <c r="C91" s="94"/>
      <c r="D91" s="95"/>
      <c r="E91" s="96"/>
      <c r="F91" s="217"/>
      <c r="G91" s="219"/>
      <c r="H91" s="217"/>
      <c r="I91" s="219"/>
      <c r="J91" s="217"/>
      <c r="K91" s="219"/>
    </row>
    <row r="92" spans="1:11" ht="15.75" customHeight="1"/>
    <row r="93" spans="1:11" ht="27" customHeight="1">
      <c r="A93" s="22" t="s">
        <v>210</v>
      </c>
      <c r="B93" s="1"/>
      <c r="C93" s="1"/>
      <c r="D93" s="1"/>
      <c r="E93" s="1"/>
      <c r="F93" s="1"/>
      <c r="G93" s="1"/>
      <c r="H93" s="1"/>
      <c r="I93" s="1"/>
      <c r="J93" s="1"/>
      <c r="K93" s="1"/>
    </row>
    <row r="94" spans="1:11" ht="8.25" customHeight="1"/>
    <row r="95" spans="1:11" ht="60">
      <c r="B95" s="23" t="s">
        <v>398</v>
      </c>
      <c r="C95" s="222" t="s">
        <v>31</v>
      </c>
      <c r="D95" s="223"/>
      <c r="E95" s="224"/>
      <c r="F95" s="23" t="s">
        <v>32</v>
      </c>
      <c r="G95" s="23" t="s">
        <v>397</v>
      </c>
      <c r="H95" s="23" t="s">
        <v>33</v>
      </c>
      <c r="I95" s="23" t="s">
        <v>34</v>
      </c>
      <c r="J95" s="25" t="s">
        <v>212</v>
      </c>
      <c r="K95" s="25" t="s">
        <v>783</v>
      </c>
    </row>
    <row r="96" spans="1:11">
      <c r="B96" s="17"/>
      <c r="C96" s="217"/>
      <c r="D96" s="218"/>
      <c r="E96" s="219"/>
      <c r="F96" s="17"/>
      <c r="G96" s="17"/>
      <c r="H96" s="17"/>
      <c r="I96" s="17"/>
      <c r="J96" s="15">
        <v>0</v>
      </c>
      <c r="K96" s="15">
        <v>0</v>
      </c>
    </row>
    <row r="97" spans="1:11">
      <c r="B97" s="17"/>
      <c r="C97" s="217"/>
      <c r="D97" s="218"/>
      <c r="E97" s="219"/>
      <c r="F97" s="17"/>
      <c r="G97" s="17"/>
      <c r="H97" s="17"/>
      <c r="I97" s="17"/>
      <c r="J97" s="15">
        <v>0</v>
      </c>
      <c r="K97" s="15">
        <v>0</v>
      </c>
    </row>
    <row r="98" spans="1:11">
      <c r="B98" s="17"/>
      <c r="C98" s="217"/>
      <c r="D98" s="218"/>
      <c r="E98" s="219"/>
      <c r="F98" s="17"/>
      <c r="G98" s="17"/>
      <c r="H98" s="17"/>
      <c r="I98" s="17"/>
      <c r="J98" s="15">
        <v>0</v>
      </c>
      <c r="K98" s="15">
        <v>0</v>
      </c>
    </row>
    <row r="99" spans="1:11">
      <c r="B99" s="17"/>
      <c r="C99" s="217"/>
      <c r="D99" s="218"/>
      <c r="E99" s="219"/>
      <c r="F99" s="17"/>
      <c r="G99" s="17"/>
      <c r="H99" s="17"/>
      <c r="I99" s="17"/>
      <c r="J99" s="15">
        <v>0</v>
      </c>
      <c r="K99" s="15">
        <v>0</v>
      </c>
    </row>
    <row r="100" spans="1:11">
      <c r="B100" s="17"/>
      <c r="C100" s="217"/>
      <c r="D100" s="218"/>
      <c r="E100" s="219"/>
      <c r="F100" s="17"/>
      <c r="G100" s="17"/>
      <c r="H100" s="17"/>
      <c r="I100" s="17"/>
      <c r="J100" s="15">
        <v>0</v>
      </c>
      <c r="K100" s="15">
        <v>0</v>
      </c>
    </row>
    <row r="101" spans="1:11">
      <c r="B101" s="17"/>
      <c r="C101" s="217"/>
      <c r="D101" s="218"/>
      <c r="E101" s="219"/>
      <c r="F101" s="17"/>
      <c r="G101" s="17"/>
      <c r="H101" s="17"/>
      <c r="I101" s="17"/>
      <c r="J101" s="15">
        <v>0</v>
      </c>
      <c r="K101" s="15">
        <v>0</v>
      </c>
    </row>
    <row r="102" spans="1:11">
      <c r="B102" s="17"/>
      <c r="C102" s="217"/>
      <c r="D102" s="218"/>
      <c r="E102" s="219"/>
      <c r="F102" s="17"/>
      <c r="G102" s="17"/>
      <c r="H102" s="17"/>
      <c r="I102" s="17"/>
      <c r="J102" s="15">
        <v>0</v>
      </c>
      <c r="K102" s="15">
        <v>0</v>
      </c>
    </row>
    <row r="103" spans="1:11">
      <c r="B103" s="17"/>
      <c r="C103" s="217"/>
      <c r="D103" s="218"/>
      <c r="E103" s="219"/>
      <c r="F103" s="17"/>
      <c r="G103" s="17"/>
      <c r="H103" s="17"/>
      <c r="I103" s="17"/>
      <c r="J103" s="15">
        <v>0</v>
      </c>
      <c r="K103" s="15">
        <v>0</v>
      </c>
    </row>
    <row r="104" spans="1:11">
      <c r="B104" s="17"/>
      <c r="C104" s="217"/>
      <c r="D104" s="218"/>
      <c r="E104" s="219"/>
      <c r="F104" s="17"/>
      <c r="G104" s="17"/>
      <c r="H104" s="17"/>
      <c r="I104" s="17"/>
      <c r="J104" s="15">
        <v>0</v>
      </c>
      <c r="K104" s="15">
        <v>0</v>
      </c>
    </row>
    <row r="105" spans="1:11" ht="9" customHeight="1"/>
    <row r="106" spans="1:11">
      <c r="B106" s="16" t="s">
        <v>211</v>
      </c>
      <c r="J106" s="21">
        <f>SUM(J96:J104)</f>
        <v>0</v>
      </c>
      <c r="K106" s="21">
        <f>SUM(K96:K104)</f>
        <v>0</v>
      </c>
    </row>
    <row r="107" spans="1:11" ht="15.75" customHeight="1"/>
    <row r="108" spans="1:11" ht="27" customHeight="1">
      <c r="A108" s="22" t="s">
        <v>4</v>
      </c>
      <c r="B108" s="1"/>
      <c r="C108" s="1"/>
      <c r="D108" s="1"/>
      <c r="E108" s="1"/>
      <c r="F108" s="1"/>
      <c r="G108" s="1"/>
      <c r="H108" s="1"/>
      <c r="I108" s="1"/>
      <c r="J108" s="1"/>
      <c r="K108" s="1"/>
    </row>
    <row r="109" spans="1:11" ht="6.75" customHeight="1"/>
    <row r="110" spans="1:11" ht="30">
      <c r="B110" s="26" t="s">
        <v>6</v>
      </c>
      <c r="C110" s="220"/>
      <c r="D110" s="221"/>
      <c r="I110" s="235" t="s">
        <v>410</v>
      </c>
      <c r="J110" s="235"/>
      <c r="K110" s="97"/>
    </row>
    <row r="111" spans="1:11" ht="6.75" customHeight="1"/>
    <row r="112" spans="1:11" ht="27" customHeight="1">
      <c r="B112" s="26" t="s">
        <v>789</v>
      </c>
      <c r="C112" s="220"/>
      <c r="D112" s="221"/>
      <c r="I112" s="26" t="s">
        <v>411</v>
      </c>
      <c r="J112" s="238"/>
      <c r="K112" s="239"/>
    </row>
    <row r="113" spans="1:11" ht="12" customHeight="1">
      <c r="B113" s="40"/>
    </row>
    <row r="114" spans="1:11" ht="27" customHeight="1">
      <c r="A114" s="22" t="s">
        <v>275</v>
      </c>
      <c r="B114" s="1"/>
      <c r="C114" s="1"/>
      <c r="D114" s="1"/>
      <c r="E114" s="59" t="s">
        <v>274</v>
      </c>
      <c r="F114" s="1"/>
      <c r="G114" s="1"/>
      <c r="H114" s="1"/>
      <c r="I114" s="1"/>
      <c r="J114" s="1"/>
      <c r="K114" s="1"/>
    </row>
    <row r="115" spans="1:11" ht="6.75" customHeight="1"/>
    <row r="116" spans="1:11" ht="20.100000000000001" customHeight="1">
      <c r="B116" s="58" t="s">
        <v>413</v>
      </c>
      <c r="C116" s="41"/>
      <c r="D116" s="41"/>
      <c r="E116" s="220"/>
      <c r="F116" s="221"/>
    </row>
    <row r="117" spans="1:11" ht="6.75" customHeight="1"/>
    <row r="118" spans="1:11" ht="20.100000000000001" customHeight="1">
      <c r="B118" s="58" t="s">
        <v>414</v>
      </c>
      <c r="C118" s="41"/>
      <c r="D118" s="41"/>
      <c r="E118" s="220"/>
      <c r="F118" s="221"/>
    </row>
    <row r="120" spans="1:11" ht="35.25" customHeight="1">
      <c r="A120" s="22" t="s">
        <v>793</v>
      </c>
      <c r="B120" s="1"/>
      <c r="C120" s="1"/>
      <c r="D120" s="1"/>
      <c r="E120" s="1"/>
      <c r="F120" s="1"/>
      <c r="G120" s="1"/>
      <c r="H120" s="1"/>
      <c r="I120" s="1"/>
      <c r="J120" s="1"/>
      <c r="K120" s="1"/>
    </row>
    <row r="122" spans="1:11" ht="33" customHeight="1">
      <c r="B122" s="26" t="s">
        <v>363</v>
      </c>
      <c r="C122" s="215"/>
      <c r="D122" s="215"/>
      <c r="E122" s="215"/>
      <c r="F122" s="215"/>
      <c r="G122" s="215"/>
      <c r="H122" s="215"/>
      <c r="I122" s="215"/>
      <c r="J122" s="215"/>
      <c r="K122" s="215"/>
    </row>
  </sheetData>
  <dataConsolidate/>
  <mergeCells count="97">
    <mergeCell ref="I65:J65"/>
    <mergeCell ref="I67:J67"/>
    <mergeCell ref="I69:J69"/>
    <mergeCell ref="C77:J77"/>
    <mergeCell ref="F91:G91"/>
    <mergeCell ref="H86:I86"/>
    <mergeCell ref="H87:I87"/>
    <mergeCell ref="C85:E85"/>
    <mergeCell ref="C86:E86"/>
    <mergeCell ref="H88:I88"/>
    <mergeCell ref="F88:G88"/>
    <mergeCell ref="H89:I89"/>
    <mergeCell ref="H91:I91"/>
    <mergeCell ref="J90:K90"/>
    <mergeCell ref="J91:K91"/>
    <mergeCell ref="I83:J83"/>
    <mergeCell ref="C110:D110"/>
    <mergeCell ref="C112:D112"/>
    <mergeCell ref="C101:E101"/>
    <mergeCell ref="C102:E102"/>
    <mergeCell ref="F90:G90"/>
    <mergeCell ref="C103:E103"/>
    <mergeCell ref="C104:E104"/>
    <mergeCell ref="E116:F116"/>
    <mergeCell ref="E118:F118"/>
    <mergeCell ref="I110:J110"/>
    <mergeCell ref="J112:K112"/>
    <mergeCell ref="J85:K85"/>
    <mergeCell ref="J86:K86"/>
    <mergeCell ref="J87:K87"/>
    <mergeCell ref="J88:K88"/>
    <mergeCell ref="J89:K89"/>
    <mergeCell ref="F89:G89"/>
    <mergeCell ref="C48:J48"/>
    <mergeCell ref="C50:D51"/>
    <mergeCell ref="I53:J53"/>
    <mergeCell ref="F86:G86"/>
    <mergeCell ref="F87:G87"/>
    <mergeCell ref="F85:G85"/>
    <mergeCell ref="C81:D81"/>
    <mergeCell ref="C83:D83"/>
    <mergeCell ref="I81:J81"/>
    <mergeCell ref="H85:I85"/>
    <mergeCell ref="I63:J63"/>
    <mergeCell ref="C71:J71"/>
    <mergeCell ref="C63:D63"/>
    <mergeCell ref="C65:D65"/>
    <mergeCell ref="C67:D67"/>
    <mergeCell ref="C69:D69"/>
    <mergeCell ref="C37:J37"/>
    <mergeCell ref="C46:D46"/>
    <mergeCell ref="I39:J39"/>
    <mergeCell ref="I41:J41"/>
    <mergeCell ref="I43:J43"/>
    <mergeCell ref="C43:D43"/>
    <mergeCell ref="C39:D39"/>
    <mergeCell ref="C41:D41"/>
    <mergeCell ref="E3:J3"/>
    <mergeCell ref="C7:J7"/>
    <mergeCell ref="C9:D9"/>
    <mergeCell ref="I15:J15"/>
    <mergeCell ref="C5:J5"/>
    <mergeCell ref="C15:D15"/>
    <mergeCell ref="C26:D26"/>
    <mergeCell ref="C28:D28"/>
    <mergeCell ref="I26:J26"/>
    <mergeCell ref="E30:H30"/>
    <mergeCell ref="C34:D34"/>
    <mergeCell ref="C30:D30"/>
    <mergeCell ref="I28:J28"/>
    <mergeCell ref="I30:J30"/>
    <mergeCell ref="I34:J34"/>
    <mergeCell ref="C32:D32"/>
    <mergeCell ref="I32:J32"/>
    <mergeCell ref="C17:G17"/>
    <mergeCell ref="C20:J20"/>
    <mergeCell ref="C24:D24"/>
    <mergeCell ref="I17:J17"/>
    <mergeCell ref="I22:J22"/>
    <mergeCell ref="I24:J24"/>
    <mergeCell ref="C22:F22"/>
    <mergeCell ref="C122:K122"/>
    <mergeCell ref="I50:J51"/>
    <mergeCell ref="C100:E100"/>
    <mergeCell ref="C53:D53"/>
    <mergeCell ref="B56:H56"/>
    <mergeCell ref="C95:E95"/>
    <mergeCell ref="C96:E96"/>
    <mergeCell ref="C97:E97"/>
    <mergeCell ref="C98:E98"/>
    <mergeCell ref="C99:E99"/>
    <mergeCell ref="C75:D75"/>
    <mergeCell ref="H90:I90"/>
    <mergeCell ref="B58:H58"/>
    <mergeCell ref="I75:K75"/>
    <mergeCell ref="K50:K51"/>
    <mergeCell ref="E50:H50"/>
  </mergeCells>
  <dataValidations xWindow="822" yWindow="431" count="5">
    <dataValidation allowBlank="1" showInputMessage="1" showErrorMessage="1" promptTitle="Unitat / Ens" prompt="Indiqueu el nom de l'ens o la unitat dins el Departament, que és promotora del projecte" sqref="J5 D5:I6 C5"/>
    <dataValidation allowBlank="1" showInputMessage="1" showErrorMessage="1" promptTitle="Descripció del projecte" prompt="Feu una descripció breu amb les principals finalitats que es pretén assolir amb el projecte" sqref="C7"/>
    <dataValidation type="date" operator="greaterThan" allowBlank="1" showInputMessage="1" showErrorMessage="1" promptTitle="Data posada en producció" prompt="Indiqueu la data en que està previst posar en producció el sistema" sqref="C9:D9">
      <formula1>40909</formula1>
    </dataValidation>
    <dataValidation allowBlank="1" showInputMessage="1" showErrorMessage="1" promptTitle="Codi diàleg" prompt="Ompliu només si es tracta d'una aplicació existent" sqref="K15"/>
    <dataValidation type="list" allowBlank="1" showInputMessage="1" showErrorMessage="1" sqref="K50:K51">
      <formula1>INDIRECT($C$50)</formula1>
    </dataValidation>
  </dataValidations>
  <hyperlinks>
    <hyperlink ref="I75:K75" r:id="rId1" display="https://portic.ctti.gencat.cat/documentacio/ctti/Documents compartits/Forms/Vista PorTIC.aspx"/>
  </hyperlinks>
  <pageMargins left="0.11811023622047245" right="0.11811023622047245" top="0.15748031496062992" bottom="0.35433070866141736" header="0.31496062992125984" footer="0.31496062992125984"/>
  <pageSetup paperSize="9" scale="70" fitToHeight="0" orientation="portrait" r:id="rId2"/>
  <headerFooter>
    <oddFooter>&amp;L&amp;F // &amp;A</oddFooter>
  </headerFooter>
  <drawing r:id="rId3"/>
  <legacyDrawing r:id="rId4"/>
  <controls>
    <mc:AlternateContent xmlns:mc="http://schemas.openxmlformats.org/markup-compatibility/2006">
      <mc:Choice Requires="x14">
        <control shapeId="1026" r:id="rId5" name="Show_CatalegSolucions">
          <controlPr defaultSize="0" autoLine="0" autoPict="0" r:id="rId6">
            <anchor moveWithCells="1">
              <from>
                <xdr:col>4</xdr:col>
                <xdr:colOff>200025</xdr:colOff>
                <xdr:row>74</xdr:row>
                <xdr:rowOff>9525</xdr:rowOff>
              </from>
              <to>
                <xdr:col>7</xdr:col>
                <xdr:colOff>657225</xdr:colOff>
                <xdr:row>75</xdr:row>
                <xdr:rowOff>0</xdr:rowOff>
              </to>
            </anchor>
          </controlPr>
        </control>
      </mc:Choice>
      <mc:Fallback>
        <control shapeId="1026" r:id="rId5" name="Show_CatalegSolucions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822" yWindow="431" count="32">
        <x14:dataValidation type="list" showInputMessage="1" showErrorMessage="1">
          <x14:formula1>
            <xm:f>Valors!$A$121:$A$124</xm:f>
          </x14:formula1>
          <xm:sqref>C34:D34 K34</xm:sqref>
        </x14:dataValidation>
        <x14:dataValidation type="list" showInputMessage="1" showErrorMessage="1" promptTitle="Departament" prompt="Seleccioneu el Departament promotor del projecte">
          <x14:formula1>
            <xm:f>Valors!$A$1:$A$13</xm:f>
          </x14:formula1>
          <xm:sqref>C3</xm:sqref>
        </x14:dataValidation>
        <x14:dataValidation type="list" allowBlank="1" showInputMessage="1" showErrorMessage="1">
          <x14:formula1>
            <xm:f>Valors!$A$20:$A$21</xm:f>
          </x14:formula1>
          <xm:sqref>C15:D15</xm:sqref>
        </x14:dataValidation>
        <x14:dataValidation type="list" allowBlank="1" showInputMessage="1" showErrorMessage="1">
          <x14:formula1>
            <xm:f>Valors!$A$24:$A$25</xm:f>
          </x14:formula1>
          <xm:sqref>C75:D75 C110:D110 C21:D21 C23:D23 C25:D25 C27:D27 K30 C31:D31 C33:D33 C35:D36 C38:D38 C40:D40 C42:D42 C44:D45 C47:D47 C49:D49 C52:D52 E116:F116 C29:D29 C19:D19 C65:D65 K67 C67:D67 K65 C69:D69 K69 E118:F118 C112:D112</xm:sqref>
        </x14:dataValidation>
        <x14:dataValidation type="list" showInputMessage="1" showErrorMessage="1">
          <x14:formula1>
            <xm:f>Valors!$A$31:$A$42</xm:f>
          </x14:formula1>
          <xm:sqref>C22:F22</xm:sqref>
        </x14:dataValidation>
        <x14:dataValidation type="list" showInputMessage="1" showErrorMessage="1">
          <x14:formula1>
            <xm:f>Valors!$A$44:$A$48</xm:f>
          </x14:formula1>
          <xm:sqref>C24:D24</xm:sqref>
        </x14:dataValidation>
        <x14:dataValidation type="list" showInputMessage="1" showErrorMessage="1">
          <x14:formula1>
            <xm:f>Valors!$A$23:$A$25</xm:f>
          </x14:formula1>
          <xm:sqref>K24</xm:sqref>
        </x14:dataValidation>
        <x14:dataValidation type="list" showInputMessage="1" showErrorMessage="1">
          <x14:formula1>
            <xm:f>Valors!$A$50:$A$55</xm:f>
          </x14:formula1>
          <xm:sqref>C26:D26</xm:sqref>
        </x14:dataValidation>
        <x14:dataValidation type="list" showInputMessage="1" showErrorMessage="1">
          <x14:formula1>
            <xm:f>Valors!$A$57:$A$64</xm:f>
          </x14:formula1>
          <xm:sqref>K26</xm:sqref>
        </x14:dataValidation>
        <x14:dataValidation type="list" showInputMessage="1" showErrorMessage="1">
          <x14:formula1>
            <xm:f>Valors!$A$66:$A$71</xm:f>
          </x14:formula1>
          <xm:sqref>K28 C28:D28</xm:sqref>
        </x14:dataValidation>
        <x14:dataValidation type="list" showInputMessage="1" showErrorMessage="1">
          <x14:formula1>
            <xm:f>Valors!$A$102:$A$106</xm:f>
          </x14:formula1>
          <xm:sqref>C30:D30</xm:sqref>
        </x14:dataValidation>
        <x14:dataValidation type="list" showInputMessage="1" showErrorMessage="1">
          <x14:formula1>
            <xm:f>Valors!$A$108:$A$111</xm:f>
          </x14:formula1>
          <xm:sqref>C53:D53</xm:sqref>
        </x14:dataValidation>
        <x14:dataValidation type="list" errorStyle="information" showInputMessage="1">
          <x14:formula1>
            <xm:f>Valors!$A$126:$A$131</xm:f>
          </x14:formula1>
          <xm:sqref>K32</xm:sqref>
        </x14:dataValidation>
        <x14:dataValidation type="list" showInputMessage="1">
          <x14:formula1>
            <xm:f>Valors!$A$133:$A$143</xm:f>
          </x14:formula1>
          <xm:sqref>C39:D39</xm:sqref>
        </x14:dataValidation>
        <x14:dataValidation type="list" showInputMessage="1">
          <x14:formula1>
            <xm:f>Valors!$A$145:$A$152</xm:f>
          </x14:formula1>
          <xm:sqref>C41:D41</xm:sqref>
        </x14:dataValidation>
        <x14:dataValidation type="list" showInputMessage="1">
          <x14:formula1>
            <xm:f>Valors!$A$154:$A$159</xm:f>
          </x14:formula1>
          <xm:sqref>K41</xm:sqref>
        </x14:dataValidation>
        <x14:dataValidation type="list" showInputMessage="1">
          <x14:formula1>
            <xm:f>Valors!$A$161:$A$171</xm:f>
          </x14:formula1>
          <xm:sqref>C43:D43</xm:sqref>
        </x14:dataValidation>
        <x14:dataValidation type="list" showInputMessage="1">
          <x14:formula1>
            <xm:f>Valors!$A$173:$A$181</xm:f>
          </x14:formula1>
          <xm:sqref>K43</xm:sqref>
        </x14:dataValidation>
        <x14:dataValidation type="list" showInputMessage="1" showErrorMessage="1">
          <x14:formula1>
            <xm:f>Valors!$A$188:$A$192</xm:f>
          </x14:formula1>
          <xm:sqref>C46:D46</xm:sqref>
        </x14:dataValidation>
        <x14:dataValidation type="list" showInputMessage="1" showErrorMessage="1">
          <x14:formula1>
            <xm:f>Valors!$A$194:$A$206</xm:f>
          </x14:formula1>
          <xm:sqref>C50:D51</xm:sqref>
        </x14:dataValidation>
        <x14:dataValidation type="list" showInputMessage="1">
          <x14:formula1>
            <xm:f>Valors!$A$208:$A$211</xm:f>
          </x14:formula1>
          <xm:sqref>I96:I104</xm:sqref>
        </x14:dataValidation>
        <x14:dataValidation type="list" showInputMessage="1" showErrorMessage="1">
          <x14:formula1>
            <xm:f>Valors!$A$113:$A$119</xm:f>
          </x14:formula1>
          <xm:sqref>C32:D32</xm:sqref>
        </x14:dataValidation>
        <x14:dataValidation type="list" showInputMessage="1" showErrorMessage="1">
          <x14:formula1>
            <xm:f>Valors!$A$26:$A$29</xm:f>
          </x14:formula1>
          <xm:sqref>J19 J21 J23 J25 J27 J29 J31 J33 J35:J36 J38 J40 J42 J44:J45 J47 J52 I49</xm:sqref>
        </x14:dataValidation>
        <x14:dataValidation type="list" showInputMessage="1" showErrorMessage="1">
          <x14:formula1>
            <xm:f>Valors!$A$74:$A$85</xm:f>
          </x14:formula1>
          <xm:sqref>K22</xm:sqref>
        </x14:dataValidation>
        <x14:dataValidation type="list" showInputMessage="1" showErrorMessage="1">
          <x14:formula1>
            <xm:f>[2]Valors!#REF!</xm:f>
          </x14:formula1>
          <xm:sqref>J64</xm:sqref>
        </x14:dataValidation>
        <x14:dataValidation type="list" showInputMessage="1" showErrorMessage="1">
          <x14:formula1>
            <xm:f>Valors!$A$184:$A$186</xm:f>
          </x14:formula1>
          <xm:sqref>K63 C63:D63</xm:sqref>
        </x14:dataValidation>
        <x14:dataValidation type="list" allowBlank="1" showInputMessage="1" showErrorMessage="1">
          <x14:formula1>
            <xm:f>[2]Valors!#REF!</xm:f>
          </x14:formula1>
          <xm:sqref>C64:D64</xm:sqref>
        </x14:dataValidation>
        <x14:dataValidation type="list" allowBlank="1" showInputMessage="1" showErrorMessage="1">
          <x14:formula1>
            <xm:f>Valors!$A$244:$A$250</xm:f>
          </x14:formula1>
          <xm:sqref>K110</xm:sqref>
        </x14:dataValidation>
        <x14:dataValidation type="list" allowBlank="1" showInputMessage="1" showErrorMessage="1">
          <x14:formula1>
            <xm:f>Valors!$A$254:$A$256</xm:f>
          </x14:formula1>
          <xm:sqref>C86:E91</xm:sqref>
        </x14:dataValidation>
        <x14:dataValidation type="list" allowBlank="1" showInputMessage="1" showErrorMessage="1">
          <x14:formula1>
            <xm:f>Valors!$A$259:$A$261</xm:f>
          </x14:formula1>
          <xm:sqref>H86:I91</xm:sqref>
        </x14:dataValidation>
        <x14:dataValidation type="list" allowBlank="1" showInputMessage="1" showErrorMessage="1">
          <x14:formula1>
            <xm:f>Valors!$A$264:$A$265</xm:f>
          </x14:formula1>
          <xm:sqref>F86:G91</xm:sqref>
        </x14:dataValidation>
        <x14:dataValidation type="list" allowBlank="1" showInputMessage="1" showErrorMessage="1">
          <x14:formula1>
            <xm:f>Valors!$A$268:$A$272</xm:f>
          </x14:formula1>
          <xm:sqref>B86:B91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ull3"/>
  <dimension ref="A2:M272"/>
  <sheetViews>
    <sheetView topLeftCell="A177" workbookViewId="0">
      <selection activeCell="A206" sqref="A206"/>
    </sheetView>
  </sheetViews>
  <sheetFormatPr baseColWidth="10" defaultColWidth="9.140625" defaultRowHeight="15"/>
  <cols>
    <col min="4" max="4" width="9.140625" customWidth="1"/>
  </cols>
  <sheetData>
    <row r="2" spans="1:3">
      <c r="A2" s="2" t="s">
        <v>36</v>
      </c>
      <c r="C2" t="s">
        <v>56</v>
      </c>
    </row>
    <row r="3" spans="1:3">
      <c r="A3" s="3" t="s">
        <v>39</v>
      </c>
      <c r="C3" t="s">
        <v>57</v>
      </c>
    </row>
    <row r="4" spans="1:3">
      <c r="A4" s="2" t="s">
        <v>43</v>
      </c>
      <c r="C4" t="s">
        <v>55</v>
      </c>
    </row>
    <row r="5" spans="1:3">
      <c r="A5" s="2" t="s">
        <v>38</v>
      </c>
      <c r="C5" t="s">
        <v>50</v>
      </c>
    </row>
    <row r="6" spans="1:3">
      <c r="A6" s="3" t="s">
        <v>37</v>
      </c>
      <c r="C6" t="s">
        <v>58</v>
      </c>
    </row>
    <row r="7" spans="1:3">
      <c r="A7" s="3" t="s">
        <v>45</v>
      </c>
      <c r="C7" t="s">
        <v>51</v>
      </c>
    </row>
    <row r="8" spans="1:3">
      <c r="A8" s="2" t="s">
        <v>42</v>
      </c>
      <c r="C8" t="s">
        <v>49</v>
      </c>
    </row>
    <row r="9" spans="1:3">
      <c r="A9" s="3" t="s">
        <v>44</v>
      </c>
      <c r="C9" t="s">
        <v>53</v>
      </c>
    </row>
    <row r="10" spans="1:3">
      <c r="A10" s="3" t="s">
        <v>47</v>
      </c>
      <c r="C10" t="s">
        <v>59</v>
      </c>
    </row>
    <row r="11" spans="1:3">
      <c r="A11" s="2" t="s">
        <v>40</v>
      </c>
      <c r="C11" t="s">
        <v>48</v>
      </c>
    </row>
    <row r="12" spans="1:3">
      <c r="A12" s="3" t="s">
        <v>46</v>
      </c>
      <c r="C12" t="s">
        <v>52</v>
      </c>
    </row>
    <row r="13" spans="1:3">
      <c r="A13" s="4" t="s">
        <v>41</v>
      </c>
      <c r="C13" t="s">
        <v>54</v>
      </c>
    </row>
    <row r="15" spans="1:3">
      <c r="A15" s="5"/>
    </row>
    <row r="20" spans="1:1">
      <c r="A20" t="s">
        <v>62</v>
      </c>
    </row>
    <row r="21" spans="1:1">
      <c r="A21" t="s">
        <v>63</v>
      </c>
    </row>
    <row r="24" spans="1:1">
      <c r="A24" t="s">
        <v>65</v>
      </c>
    </row>
    <row r="25" spans="1:1">
      <c r="A25" t="s">
        <v>66</v>
      </c>
    </row>
    <row r="27" spans="1:1">
      <c r="A27" t="s">
        <v>68</v>
      </c>
    </row>
    <row r="28" spans="1:1">
      <c r="A28" t="s">
        <v>67</v>
      </c>
    </row>
    <row r="29" spans="1:1">
      <c r="A29" t="s">
        <v>69</v>
      </c>
    </row>
    <row r="32" spans="1:1">
      <c r="A32" t="s">
        <v>70</v>
      </c>
    </row>
    <row r="33" spans="1:1">
      <c r="A33" t="s">
        <v>71</v>
      </c>
    </row>
    <row r="34" spans="1:1">
      <c r="A34" t="s">
        <v>72</v>
      </c>
    </row>
    <row r="35" spans="1:1">
      <c r="A35" t="s">
        <v>73</v>
      </c>
    </row>
    <row r="36" spans="1:1">
      <c r="A36" t="s">
        <v>74</v>
      </c>
    </row>
    <row r="37" spans="1:1">
      <c r="A37" t="s">
        <v>75</v>
      </c>
    </row>
    <row r="38" spans="1:1">
      <c r="A38" t="s">
        <v>80</v>
      </c>
    </row>
    <row r="39" spans="1:1">
      <c r="A39" t="s">
        <v>79</v>
      </c>
    </row>
    <row r="40" spans="1:1">
      <c r="A40" t="s">
        <v>78</v>
      </c>
    </row>
    <row r="41" spans="1:1">
      <c r="A41" t="s">
        <v>77</v>
      </c>
    </row>
    <row r="42" spans="1:1">
      <c r="A42" t="s">
        <v>76</v>
      </c>
    </row>
    <row r="45" spans="1:1">
      <c r="A45" t="s">
        <v>81</v>
      </c>
    </row>
    <row r="46" spans="1:1">
      <c r="A46" t="s">
        <v>82</v>
      </c>
    </row>
    <row r="47" spans="1:1">
      <c r="A47" t="s">
        <v>83</v>
      </c>
    </row>
    <row r="48" spans="1:1">
      <c r="A48" t="s">
        <v>84</v>
      </c>
    </row>
    <row r="51" spans="1:1">
      <c r="A51" t="s">
        <v>85</v>
      </c>
    </row>
    <row r="52" spans="1:1">
      <c r="A52" t="s">
        <v>86</v>
      </c>
    </row>
    <row r="53" spans="1:1">
      <c r="A53" t="s">
        <v>87</v>
      </c>
    </row>
    <row r="54" spans="1:1">
      <c r="A54" t="s">
        <v>88</v>
      </c>
    </row>
    <row r="55" spans="1:1">
      <c r="A55" t="s">
        <v>89</v>
      </c>
    </row>
    <row r="58" spans="1:1">
      <c r="A58" t="s">
        <v>90</v>
      </c>
    </row>
    <row r="59" spans="1:1">
      <c r="A59" t="s">
        <v>91</v>
      </c>
    </row>
    <row r="60" spans="1:1">
      <c r="A60" t="s">
        <v>92</v>
      </c>
    </row>
    <row r="61" spans="1:1">
      <c r="A61" t="s">
        <v>93</v>
      </c>
    </row>
    <row r="62" spans="1:1">
      <c r="A62" t="s">
        <v>94</v>
      </c>
    </row>
    <row r="63" spans="1:1">
      <c r="A63" t="s">
        <v>95</v>
      </c>
    </row>
    <row r="64" spans="1:1">
      <c r="A64" t="s">
        <v>89</v>
      </c>
    </row>
    <row r="67" spans="1:1">
      <c r="A67" t="s">
        <v>100</v>
      </c>
    </row>
    <row r="68" spans="1:1">
      <c r="A68" t="s">
        <v>96</v>
      </c>
    </row>
    <row r="69" spans="1:1">
      <c r="A69" t="s">
        <v>97</v>
      </c>
    </row>
    <row r="70" spans="1:1">
      <c r="A70" t="s">
        <v>98</v>
      </c>
    </row>
    <row r="71" spans="1:1">
      <c r="A71" t="s">
        <v>99</v>
      </c>
    </row>
    <row r="75" spans="1:1">
      <c r="A75" t="s">
        <v>101</v>
      </c>
    </row>
    <row r="76" spans="1:1">
      <c r="A76" t="s">
        <v>102</v>
      </c>
    </row>
    <row r="77" spans="1:1">
      <c r="A77" t="s">
        <v>103</v>
      </c>
    </row>
    <row r="78" spans="1:1">
      <c r="A78" t="s">
        <v>104</v>
      </c>
    </row>
    <row r="79" spans="1:1">
      <c r="A79" t="s">
        <v>105</v>
      </c>
    </row>
    <row r="80" spans="1:1">
      <c r="A80" t="s">
        <v>108</v>
      </c>
    </row>
    <row r="81" spans="1:1">
      <c r="A81" t="s">
        <v>106</v>
      </c>
    </row>
    <row r="82" spans="1:1">
      <c r="A82" t="s">
        <v>110</v>
      </c>
    </row>
    <row r="83" spans="1:1">
      <c r="A83" t="s">
        <v>111</v>
      </c>
    </row>
    <row r="84" spans="1:1">
      <c r="A84" t="s">
        <v>107</v>
      </c>
    </row>
    <row r="85" spans="1:1">
      <c r="A85" t="s">
        <v>109</v>
      </c>
    </row>
    <row r="88" spans="1:1">
      <c r="A88" t="s">
        <v>112</v>
      </c>
    </row>
    <row r="89" spans="1:1">
      <c r="A89" t="s">
        <v>113</v>
      </c>
    </row>
    <row r="90" spans="1:1">
      <c r="A90" t="s">
        <v>114</v>
      </c>
    </row>
    <row r="91" spans="1:1">
      <c r="A91" t="s">
        <v>115</v>
      </c>
    </row>
    <row r="92" spans="1:1">
      <c r="A92" t="s">
        <v>108</v>
      </c>
    </row>
    <row r="93" spans="1:1">
      <c r="A93" t="s">
        <v>116</v>
      </c>
    </row>
    <row r="94" spans="1:1">
      <c r="A94" t="s">
        <v>107</v>
      </c>
    </row>
    <row r="97" spans="1:2">
      <c r="A97" t="s">
        <v>81</v>
      </c>
    </row>
    <row r="98" spans="1:2">
      <c r="A98" t="s">
        <v>117</v>
      </c>
    </row>
    <row r="99" spans="1:2">
      <c r="A99" t="s">
        <v>83</v>
      </c>
    </row>
    <row r="100" spans="1:2">
      <c r="A100" t="s">
        <v>84</v>
      </c>
    </row>
    <row r="103" spans="1:2">
      <c r="A103" t="s">
        <v>423</v>
      </c>
      <c r="B103" t="s">
        <v>424</v>
      </c>
    </row>
    <row r="104" spans="1:2">
      <c r="A104" t="s">
        <v>118</v>
      </c>
      <c r="B104" t="s">
        <v>122</v>
      </c>
    </row>
    <row r="105" spans="1:2">
      <c r="A105" t="s">
        <v>119</v>
      </c>
      <c r="B105" t="s">
        <v>121</v>
      </c>
    </row>
    <row r="106" spans="1:2">
      <c r="A106" t="s">
        <v>120</v>
      </c>
      <c r="B106" t="s">
        <v>123</v>
      </c>
    </row>
    <row r="109" spans="1:2">
      <c r="A109" t="s">
        <v>96</v>
      </c>
    </row>
    <row r="110" spans="1:2">
      <c r="A110" t="s">
        <v>97</v>
      </c>
    </row>
    <row r="111" spans="1:2">
      <c r="A111" t="s">
        <v>98</v>
      </c>
    </row>
    <row r="114" spans="1:1">
      <c r="A114" t="s">
        <v>422</v>
      </c>
    </row>
    <row r="115" spans="1:1">
      <c r="A115" t="s">
        <v>128</v>
      </c>
    </row>
    <row r="116" spans="1:1">
      <c r="A116" t="s">
        <v>126</v>
      </c>
    </row>
    <row r="117" spans="1:1">
      <c r="A117" t="s">
        <v>125</v>
      </c>
    </row>
    <row r="118" spans="1:1">
      <c r="A118" t="s">
        <v>124</v>
      </c>
    </row>
    <row r="119" spans="1:1">
      <c r="A119" t="s">
        <v>127</v>
      </c>
    </row>
    <row r="122" spans="1:1">
      <c r="A122" t="s">
        <v>129</v>
      </c>
    </row>
    <row r="123" spans="1:1">
      <c r="A123" t="s">
        <v>130</v>
      </c>
    </row>
    <row r="124" spans="1:1">
      <c r="A124" t="s">
        <v>131</v>
      </c>
    </row>
    <row r="127" spans="1:1">
      <c r="A127" t="s">
        <v>132</v>
      </c>
    </row>
    <row r="128" spans="1:1">
      <c r="A128" t="s">
        <v>135</v>
      </c>
    </row>
    <row r="129" spans="1:1">
      <c r="A129" t="s">
        <v>133</v>
      </c>
    </row>
    <row r="130" spans="1:1">
      <c r="A130" t="s">
        <v>134</v>
      </c>
    </row>
    <row r="131" spans="1:1">
      <c r="A131" t="s">
        <v>136</v>
      </c>
    </row>
    <row r="134" spans="1:1">
      <c r="A134" t="s">
        <v>89</v>
      </c>
    </row>
    <row r="135" spans="1:1">
      <c r="A135" t="s">
        <v>138</v>
      </c>
    </row>
    <row r="136" spans="1:1">
      <c r="A136" t="s">
        <v>139</v>
      </c>
    </row>
    <row r="137" spans="1:1">
      <c r="A137" t="s">
        <v>140</v>
      </c>
    </row>
    <row r="138" spans="1:1">
      <c r="A138" t="s">
        <v>141</v>
      </c>
    </row>
    <row r="139" spans="1:1">
      <c r="A139" t="s">
        <v>142</v>
      </c>
    </row>
    <row r="140" spans="1:1">
      <c r="A140" t="s">
        <v>143</v>
      </c>
    </row>
    <row r="141" spans="1:1">
      <c r="A141" t="s">
        <v>144</v>
      </c>
    </row>
    <row r="142" spans="1:1">
      <c r="A142" t="s">
        <v>145</v>
      </c>
    </row>
    <row r="143" spans="1:1">
      <c r="A143" t="s">
        <v>146</v>
      </c>
    </row>
    <row r="146" spans="1:1">
      <c r="A146" t="s">
        <v>89</v>
      </c>
    </row>
    <row r="147" spans="1:1">
      <c r="A147" t="s">
        <v>148</v>
      </c>
    </row>
    <row r="148" spans="1:1">
      <c r="A148" t="s">
        <v>149</v>
      </c>
    </row>
    <row r="149" spans="1:1">
      <c r="A149" t="s">
        <v>150</v>
      </c>
    </row>
    <row r="150" spans="1:1">
      <c r="A150" t="s">
        <v>151</v>
      </c>
    </row>
    <row r="151" spans="1:1">
      <c r="A151" t="s">
        <v>152</v>
      </c>
    </row>
    <row r="152" spans="1:1">
      <c r="A152" t="s">
        <v>153</v>
      </c>
    </row>
    <row r="155" spans="1:1">
      <c r="A155" t="s">
        <v>154</v>
      </c>
    </row>
    <row r="156" spans="1:1">
      <c r="A156" t="s">
        <v>155</v>
      </c>
    </row>
    <row r="157" spans="1:1">
      <c r="A157" t="s">
        <v>156</v>
      </c>
    </row>
    <row r="158" spans="1:1">
      <c r="A158" t="s">
        <v>157</v>
      </c>
    </row>
    <row r="159" spans="1:1">
      <c r="A159" t="s">
        <v>158</v>
      </c>
    </row>
    <row r="162" spans="1:1">
      <c r="A162" t="s">
        <v>89</v>
      </c>
    </row>
    <row r="163" spans="1:1">
      <c r="A163" t="s">
        <v>160</v>
      </c>
    </row>
    <row r="164" spans="1:1">
      <c r="A164" t="s">
        <v>161</v>
      </c>
    </row>
    <row r="165" spans="1:1">
      <c r="A165" t="s">
        <v>162</v>
      </c>
    </row>
    <row r="166" spans="1:1">
      <c r="A166" t="s">
        <v>163</v>
      </c>
    </row>
    <row r="167" spans="1:1">
      <c r="A167" t="s">
        <v>164</v>
      </c>
    </row>
    <row r="168" spans="1:1">
      <c r="A168" t="s">
        <v>165</v>
      </c>
    </row>
    <row r="169" spans="1:1">
      <c r="A169" t="s">
        <v>166</v>
      </c>
    </row>
    <row r="170" spans="1:1">
      <c r="A170" t="s">
        <v>167</v>
      </c>
    </row>
    <row r="171" spans="1:1">
      <c r="A171" t="s">
        <v>168</v>
      </c>
    </row>
    <row r="174" spans="1:1">
      <c r="A174" t="s">
        <v>89</v>
      </c>
    </row>
    <row r="175" spans="1:1">
      <c r="A175" t="s">
        <v>169</v>
      </c>
    </row>
    <row r="176" spans="1:1">
      <c r="A176" t="s">
        <v>170</v>
      </c>
    </row>
    <row r="177" spans="1:2">
      <c r="A177" t="s">
        <v>171</v>
      </c>
    </row>
    <row r="178" spans="1:2">
      <c r="A178" t="s">
        <v>172</v>
      </c>
    </row>
    <row r="179" spans="1:2">
      <c r="A179" t="s">
        <v>173</v>
      </c>
    </row>
    <row r="180" spans="1:2">
      <c r="A180" t="s">
        <v>145</v>
      </c>
    </row>
    <row r="181" spans="1:2">
      <c r="A181" t="s">
        <v>174</v>
      </c>
    </row>
    <row r="184" spans="1:2">
      <c r="A184" t="s">
        <v>107</v>
      </c>
    </row>
    <row r="185" spans="1:2">
      <c r="A185" t="s">
        <v>175</v>
      </c>
    </row>
    <row r="186" spans="1:2">
      <c r="A186" t="s">
        <v>176</v>
      </c>
    </row>
    <row r="189" spans="1:2">
      <c r="A189" t="s">
        <v>177</v>
      </c>
      <c r="B189" t="s">
        <v>181</v>
      </c>
    </row>
    <row r="190" spans="1:2">
      <c r="A190" t="s">
        <v>178</v>
      </c>
      <c r="B190" t="s">
        <v>183</v>
      </c>
    </row>
    <row r="191" spans="1:2">
      <c r="A191" t="s">
        <v>179</v>
      </c>
      <c r="B191" t="s">
        <v>139</v>
      </c>
    </row>
    <row r="192" spans="1:2">
      <c r="A192" t="s">
        <v>180</v>
      </c>
      <c r="B192" t="s">
        <v>182</v>
      </c>
    </row>
    <row r="195" spans="1:2">
      <c r="A195" s="57" t="s">
        <v>700</v>
      </c>
      <c r="B195" t="s">
        <v>202</v>
      </c>
    </row>
    <row r="196" spans="1:2">
      <c r="A196" s="57" t="s">
        <v>699</v>
      </c>
      <c r="B196" t="s">
        <v>203</v>
      </c>
    </row>
    <row r="197" spans="1:2">
      <c r="A197" s="57" t="s">
        <v>701</v>
      </c>
      <c r="B197" t="s">
        <v>195</v>
      </c>
    </row>
    <row r="198" spans="1:2">
      <c r="A198" s="57" t="s">
        <v>702</v>
      </c>
      <c r="B198" t="s">
        <v>200</v>
      </c>
    </row>
    <row r="199" spans="1:2">
      <c r="A199" s="57" t="s">
        <v>703</v>
      </c>
      <c r="B199" t="s">
        <v>201</v>
      </c>
    </row>
    <row r="200" spans="1:2">
      <c r="A200" s="57" t="s">
        <v>704</v>
      </c>
      <c r="B200" t="s">
        <v>198</v>
      </c>
    </row>
    <row r="201" spans="1:2">
      <c r="A201" s="57" t="s">
        <v>705</v>
      </c>
      <c r="B201" t="s">
        <v>199</v>
      </c>
    </row>
    <row r="202" spans="1:2">
      <c r="A202" s="57" t="s">
        <v>706</v>
      </c>
      <c r="B202" t="s">
        <v>205</v>
      </c>
    </row>
    <row r="203" spans="1:2">
      <c r="A203" s="57" t="s">
        <v>707</v>
      </c>
      <c r="B203" t="s">
        <v>204</v>
      </c>
    </row>
    <row r="204" spans="1:2">
      <c r="A204" s="57" t="s">
        <v>708</v>
      </c>
      <c r="B204" t="s">
        <v>196</v>
      </c>
    </row>
    <row r="205" spans="1:2">
      <c r="A205" s="57" t="s">
        <v>709</v>
      </c>
      <c r="B205" t="s">
        <v>197</v>
      </c>
    </row>
    <row r="206" spans="1:2" s="145" customFormat="1">
      <c r="A206" s="57" t="s">
        <v>0</v>
      </c>
      <c r="B206" s="145" t="s">
        <v>843</v>
      </c>
    </row>
    <row r="209" spans="1:13">
      <c r="A209" t="s">
        <v>206</v>
      </c>
    </row>
    <row r="210" spans="1:13">
      <c r="A210" t="s">
        <v>208</v>
      </c>
    </row>
    <row r="211" spans="1:13">
      <c r="A211" t="s">
        <v>207</v>
      </c>
    </row>
    <row r="212" spans="1:13">
      <c r="A212" s="246" t="s">
        <v>733</v>
      </c>
      <c r="B212" s="246"/>
      <c r="C212" s="246"/>
      <c r="D212" s="246"/>
      <c r="E212" s="246"/>
      <c r="F212" s="246"/>
      <c r="G212" s="246"/>
      <c r="H212" s="246"/>
      <c r="I212" s="246"/>
      <c r="J212" s="246"/>
      <c r="K212" s="246"/>
      <c r="L212" s="246"/>
      <c r="M212" s="246"/>
    </row>
    <row r="213" spans="1:13">
      <c r="A213" s="134" t="s">
        <v>700</v>
      </c>
      <c r="B213" s="134" t="s">
        <v>699</v>
      </c>
      <c r="C213" s="134" t="s">
        <v>701</v>
      </c>
      <c r="D213" s="134" t="s">
        <v>702</v>
      </c>
      <c r="E213" s="134" t="s">
        <v>703</v>
      </c>
      <c r="F213" s="134" t="s">
        <v>704</v>
      </c>
      <c r="G213" s="134" t="s">
        <v>705</v>
      </c>
      <c r="H213" s="134" t="s">
        <v>706</v>
      </c>
      <c r="I213" s="134" t="s">
        <v>707</v>
      </c>
      <c r="J213" s="134" t="s">
        <v>708</v>
      </c>
      <c r="K213" s="134" t="s">
        <v>709</v>
      </c>
      <c r="L213" s="135"/>
      <c r="M213" s="135"/>
    </row>
    <row r="214" spans="1:13">
      <c r="A214" s="136" t="s">
        <v>696</v>
      </c>
      <c r="B214" s="136" t="s">
        <v>696</v>
      </c>
      <c r="C214" s="136" t="s">
        <v>195</v>
      </c>
      <c r="D214" s="136" t="s">
        <v>710</v>
      </c>
      <c r="E214" s="136" t="s">
        <v>710</v>
      </c>
      <c r="F214" s="136" t="s">
        <v>714</v>
      </c>
      <c r="G214" s="136" t="s">
        <v>714</v>
      </c>
      <c r="H214" s="136" t="s">
        <v>718</v>
      </c>
      <c r="I214" s="136" t="s">
        <v>718</v>
      </c>
      <c r="J214" s="136" t="s">
        <v>720</v>
      </c>
      <c r="K214" s="136" t="s">
        <v>720</v>
      </c>
      <c r="L214" s="135"/>
      <c r="M214" s="135"/>
    </row>
    <row r="215" spans="1:13">
      <c r="A215" s="135"/>
      <c r="B215" s="136" t="s">
        <v>697</v>
      </c>
      <c r="C215" s="135"/>
      <c r="D215" s="136" t="s">
        <v>444</v>
      </c>
      <c r="E215" s="136" t="s">
        <v>712</v>
      </c>
      <c r="F215" s="136" t="s">
        <v>715</v>
      </c>
      <c r="G215" s="136" t="s">
        <v>716</v>
      </c>
      <c r="H215" s="136" t="s">
        <v>719</v>
      </c>
      <c r="I215" s="135"/>
      <c r="J215" s="136" t="s">
        <v>721</v>
      </c>
      <c r="K215" s="136" t="s">
        <v>722</v>
      </c>
      <c r="L215" s="135"/>
      <c r="M215" s="135"/>
    </row>
    <row r="216" spans="1:13">
      <c r="A216" s="135"/>
      <c r="B216" s="136" t="s">
        <v>698</v>
      </c>
      <c r="C216" s="135"/>
      <c r="D216" s="136" t="s">
        <v>711</v>
      </c>
      <c r="E216" s="136" t="s">
        <v>713</v>
      </c>
      <c r="F216" s="135"/>
      <c r="G216" s="136" t="s">
        <v>717</v>
      </c>
      <c r="H216" s="135"/>
      <c r="I216" s="135"/>
      <c r="J216" s="135"/>
      <c r="K216" s="135"/>
      <c r="L216" s="135"/>
      <c r="M216" s="135"/>
    </row>
    <row r="218" spans="1:13" ht="51">
      <c r="A218" s="138" t="s">
        <v>738</v>
      </c>
      <c r="B218" s="138" t="s">
        <v>739</v>
      </c>
      <c r="C218" s="138" t="s">
        <v>740</v>
      </c>
      <c r="D218" s="138" t="s">
        <v>736</v>
      </c>
    </row>
    <row r="219" spans="1:13">
      <c r="A219" s="139" t="s">
        <v>184</v>
      </c>
      <c r="B219" s="93" t="s">
        <v>202</v>
      </c>
      <c r="C219" s="93" t="s">
        <v>696</v>
      </c>
      <c r="D219" s="139" t="s">
        <v>741</v>
      </c>
    </row>
    <row r="220" spans="1:13">
      <c r="A220" s="139" t="s">
        <v>185</v>
      </c>
      <c r="B220" s="93" t="s">
        <v>203</v>
      </c>
      <c r="C220" s="93" t="s">
        <v>696</v>
      </c>
      <c r="D220" s="139" t="s">
        <v>741</v>
      </c>
    </row>
    <row r="221" spans="1:13">
      <c r="A221" s="139" t="s">
        <v>185</v>
      </c>
      <c r="B221" s="93" t="s">
        <v>203</v>
      </c>
      <c r="C221" s="93" t="s">
        <v>697</v>
      </c>
      <c r="D221" s="139" t="s">
        <v>742</v>
      </c>
    </row>
    <row r="222" spans="1:13">
      <c r="A222" s="139" t="s">
        <v>185</v>
      </c>
      <c r="B222" s="93" t="s">
        <v>203</v>
      </c>
      <c r="C222" s="93" t="s">
        <v>698</v>
      </c>
      <c r="D222" s="139" t="s">
        <v>742</v>
      </c>
    </row>
    <row r="223" spans="1:13">
      <c r="A223" s="139" t="s">
        <v>186</v>
      </c>
      <c r="B223" s="93" t="s">
        <v>195</v>
      </c>
      <c r="C223" s="93" t="s">
        <v>195</v>
      </c>
      <c r="D223" s="139" t="s">
        <v>742</v>
      </c>
    </row>
    <row r="224" spans="1:13">
      <c r="A224" s="139" t="s">
        <v>187</v>
      </c>
      <c r="B224" s="93" t="s">
        <v>200</v>
      </c>
      <c r="C224" s="93" t="s">
        <v>710</v>
      </c>
      <c r="D224" s="139" t="s">
        <v>741</v>
      </c>
    </row>
    <row r="225" spans="1:4">
      <c r="A225" s="139" t="s">
        <v>187</v>
      </c>
      <c r="B225" s="93" t="s">
        <v>200</v>
      </c>
      <c r="C225" s="93" t="s">
        <v>444</v>
      </c>
      <c r="D225" s="139" t="s">
        <v>742</v>
      </c>
    </row>
    <row r="226" spans="1:4">
      <c r="A226" s="139" t="s">
        <v>187</v>
      </c>
      <c r="B226" s="93" t="s">
        <v>200</v>
      </c>
      <c r="C226" s="93" t="s">
        <v>711</v>
      </c>
      <c r="D226" s="139" t="s">
        <v>742</v>
      </c>
    </row>
    <row r="227" spans="1:4">
      <c r="A227" s="139" t="s">
        <v>188</v>
      </c>
      <c r="B227" s="93" t="s">
        <v>201</v>
      </c>
      <c r="C227" s="93" t="s">
        <v>710</v>
      </c>
      <c r="D227" s="139" t="s">
        <v>741</v>
      </c>
    </row>
    <row r="228" spans="1:4">
      <c r="A228" s="139" t="s">
        <v>188</v>
      </c>
      <c r="B228" s="93" t="s">
        <v>201</v>
      </c>
      <c r="C228" s="93" t="s">
        <v>712</v>
      </c>
      <c r="D228" s="139" t="s">
        <v>742</v>
      </c>
    </row>
    <row r="229" spans="1:4">
      <c r="A229" s="139" t="s">
        <v>188</v>
      </c>
      <c r="B229" s="93" t="s">
        <v>201</v>
      </c>
      <c r="C229" s="93" t="s">
        <v>713</v>
      </c>
      <c r="D229" s="139" t="s">
        <v>742</v>
      </c>
    </row>
    <row r="230" spans="1:4">
      <c r="A230" s="139" t="s">
        <v>189</v>
      </c>
      <c r="B230" s="93" t="s">
        <v>198</v>
      </c>
      <c r="C230" s="93" t="s">
        <v>714</v>
      </c>
      <c r="D230" s="139" t="s">
        <v>741</v>
      </c>
    </row>
    <row r="231" spans="1:4">
      <c r="A231" s="139" t="s">
        <v>189</v>
      </c>
      <c r="B231" s="93" t="s">
        <v>198</v>
      </c>
      <c r="C231" s="93" t="s">
        <v>715</v>
      </c>
      <c r="D231" s="139" t="s">
        <v>742</v>
      </c>
    </row>
    <row r="232" spans="1:4">
      <c r="A232" s="139" t="s">
        <v>190</v>
      </c>
      <c r="B232" s="93" t="s">
        <v>199</v>
      </c>
      <c r="C232" s="93" t="s">
        <v>714</v>
      </c>
      <c r="D232" s="139" t="s">
        <v>741</v>
      </c>
    </row>
    <row r="233" spans="1:4">
      <c r="A233" s="139" t="s">
        <v>190</v>
      </c>
      <c r="B233" s="93" t="s">
        <v>199</v>
      </c>
      <c r="C233" s="93" t="s">
        <v>716</v>
      </c>
      <c r="D233" s="139" t="s">
        <v>742</v>
      </c>
    </row>
    <row r="234" spans="1:4">
      <c r="A234" s="139" t="s">
        <v>190</v>
      </c>
      <c r="B234" s="93" t="s">
        <v>199</v>
      </c>
      <c r="C234" s="93" t="s">
        <v>717</v>
      </c>
      <c r="D234" s="139" t="s">
        <v>742</v>
      </c>
    </row>
    <row r="235" spans="1:4">
      <c r="A235" s="139" t="s">
        <v>191</v>
      </c>
      <c r="B235" s="93" t="s">
        <v>205</v>
      </c>
      <c r="C235" s="93" t="s">
        <v>718</v>
      </c>
      <c r="D235" s="139" t="s">
        <v>741</v>
      </c>
    </row>
    <row r="236" spans="1:4">
      <c r="A236" s="139" t="s">
        <v>191</v>
      </c>
      <c r="B236" s="93" t="s">
        <v>205</v>
      </c>
      <c r="C236" s="93" t="s">
        <v>719</v>
      </c>
      <c r="D236" s="139" t="s">
        <v>742</v>
      </c>
    </row>
    <row r="237" spans="1:4">
      <c r="A237" s="139" t="s">
        <v>192</v>
      </c>
      <c r="B237" s="93" t="s">
        <v>204</v>
      </c>
      <c r="C237" s="93" t="s">
        <v>718</v>
      </c>
      <c r="D237" s="139" t="s">
        <v>741</v>
      </c>
    </row>
    <row r="238" spans="1:4">
      <c r="A238" s="139" t="s">
        <v>193</v>
      </c>
      <c r="B238" s="93" t="s">
        <v>196</v>
      </c>
      <c r="C238" s="93" t="s">
        <v>720</v>
      </c>
      <c r="D238" s="139" t="s">
        <v>741</v>
      </c>
    </row>
    <row r="239" spans="1:4">
      <c r="A239" s="139" t="s">
        <v>193</v>
      </c>
      <c r="B239" s="93" t="s">
        <v>196</v>
      </c>
      <c r="C239" s="93" t="s">
        <v>721</v>
      </c>
      <c r="D239" s="139" t="s">
        <v>742</v>
      </c>
    </row>
    <row r="240" spans="1:4">
      <c r="A240" s="139" t="s">
        <v>194</v>
      </c>
      <c r="B240" s="93" t="s">
        <v>197</v>
      </c>
      <c r="C240" s="93" t="s">
        <v>720</v>
      </c>
      <c r="D240" s="139" t="s">
        <v>741</v>
      </c>
    </row>
    <row r="241" spans="1:13">
      <c r="A241" s="139" t="s">
        <v>194</v>
      </c>
      <c r="B241" s="93" t="s">
        <v>197</v>
      </c>
      <c r="C241" s="93" t="s">
        <v>722</v>
      </c>
      <c r="D241" s="139" t="s">
        <v>742</v>
      </c>
    </row>
    <row r="243" spans="1:13">
      <c r="A243" s="246" t="s">
        <v>723</v>
      </c>
      <c r="B243" s="246"/>
      <c r="C243" s="246"/>
      <c r="D243" s="246"/>
      <c r="E243" s="246"/>
      <c r="F243" s="246"/>
      <c r="G243" s="246"/>
      <c r="H243" s="246"/>
      <c r="I243" s="246"/>
      <c r="J243" s="246"/>
      <c r="K243" s="246"/>
      <c r="L243" s="246"/>
      <c r="M243" s="246"/>
    </row>
    <row r="244" spans="1:13" s="145" customFormat="1">
      <c r="A244" s="145" t="s">
        <v>782</v>
      </c>
      <c r="B244" s="133"/>
    </row>
    <row r="245" spans="1:13">
      <c r="A245" t="s">
        <v>726</v>
      </c>
      <c r="B245" s="133" t="s">
        <v>724</v>
      </c>
    </row>
    <row r="246" spans="1:13">
      <c r="A246" t="s">
        <v>725</v>
      </c>
      <c r="B246" s="133" t="s">
        <v>727</v>
      </c>
    </row>
    <row r="247" spans="1:13">
      <c r="A247" t="s">
        <v>728</v>
      </c>
      <c r="B247" s="133" t="s">
        <v>729</v>
      </c>
    </row>
    <row r="248" spans="1:13">
      <c r="A248" t="s">
        <v>730</v>
      </c>
      <c r="B248" s="133" t="s">
        <v>218</v>
      </c>
    </row>
    <row r="249" spans="1:13">
      <c r="A249" t="s">
        <v>731</v>
      </c>
      <c r="B249" s="133" t="s">
        <v>727</v>
      </c>
    </row>
    <row r="250" spans="1:13">
      <c r="A250" t="s">
        <v>732</v>
      </c>
      <c r="B250" s="133" t="s">
        <v>218</v>
      </c>
    </row>
    <row r="253" spans="1:13">
      <c r="A253" s="246" t="s">
        <v>784</v>
      </c>
      <c r="B253" s="246"/>
      <c r="C253" s="246"/>
      <c r="D253" s="246"/>
      <c r="E253" s="246"/>
      <c r="F253" s="246"/>
      <c r="G253" s="246"/>
      <c r="H253" s="246"/>
      <c r="I253" s="246"/>
      <c r="J253" s="246"/>
      <c r="K253" s="246"/>
      <c r="L253" s="246"/>
      <c r="M253" s="246"/>
    </row>
    <row r="254" spans="1:13">
      <c r="A254" s="145" t="s">
        <v>89</v>
      </c>
      <c r="B254" s="133"/>
      <c r="C254" s="145"/>
      <c r="D254" s="145"/>
      <c r="E254" s="145"/>
      <c r="F254" s="145"/>
      <c r="G254" s="145"/>
      <c r="H254" s="145"/>
      <c r="I254" s="145"/>
      <c r="J254" s="145"/>
      <c r="K254" s="145"/>
      <c r="L254" s="145"/>
      <c r="M254" s="145"/>
    </row>
    <row r="255" spans="1:13">
      <c r="A255" s="145" t="s">
        <v>785</v>
      </c>
      <c r="B255" s="133"/>
      <c r="C255" s="145"/>
      <c r="D255" s="145"/>
      <c r="E255" s="145"/>
      <c r="F255" s="145"/>
      <c r="G255" s="145"/>
      <c r="H255" s="145"/>
      <c r="I255" s="145"/>
      <c r="J255" s="145"/>
      <c r="K255" s="145"/>
      <c r="L255" s="145"/>
      <c r="M255" s="145"/>
    </row>
    <row r="256" spans="1:13">
      <c r="A256" s="145" t="s">
        <v>786</v>
      </c>
      <c r="B256" s="133"/>
      <c r="C256" s="145"/>
      <c r="D256" s="145"/>
      <c r="E256" s="145"/>
      <c r="F256" s="145"/>
      <c r="G256" s="145"/>
      <c r="H256" s="145"/>
      <c r="I256" s="145"/>
      <c r="J256" s="145"/>
      <c r="K256" s="145"/>
      <c r="L256" s="145"/>
      <c r="M256" s="145"/>
    </row>
    <row r="258" spans="1:13">
      <c r="A258" s="246" t="s">
        <v>787</v>
      </c>
      <c r="B258" s="246"/>
      <c r="C258" s="246"/>
      <c r="D258" s="246"/>
      <c r="E258" s="246"/>
      <c r="F258" s="246"/>
      <c r="G258" s="246"/>
      <c r="H258" s="246"/>
      <c r="I258" s="246"/>
      <c r="J258" s="246"/>
      <c r="K258" s="246"/>
      <c r="L258" s="246"/>
      <c r="M258" s="246"/>
    </row>
    <row r="259" spans="1:13">
      <c r="A259" s="145" t="s">
        <v>89</v>
      </c>
      <c r="B259" s="133"/>
      <c r="C259" s="145"/>
      <c r="D259" s="145"/>
      <c r="E259" s="145"/>
      <c r="F259" s="145"/>
      <c r="G259" s="145"/>
      <c r="H259" s="145"/>
      <c r="I259" s="145"/>
      <c r="J259" s="145"/>
      <c r="K259" s="145"/>
      <c r="L259" s="145"/>
      <c r="M259" s="145"/>
    </row>
    <row r="260" spans="1:13">
      <c r="A260" s="145" t="s">
        <v>723</v>
      </c>
      <c r="B260" s="133"/>
      <c r="C260" s="145"/>
      <c r="D260" s="145"/>
      <c r="E260" s="145"/>
      <c r="F260" s="145"/>
      <c r="G260" s="145"/>
      <c r="H260" s="145"/>
      <c r="I260" s="145"/>
      <c r="J260" s="145"/>
      <c r="K260" s="145"/>
      <c r="L260" s="145"/>
      <c r="M260" s="145"/>
    </row>
    <row r="261" spans="1:13">
      <c r="A261" s="145" t="s">
        <v>788</v>
      </c>
      <c r="B261" s="133"/>
      <c r="C261" s="145"/>
      <c r="D261" s="145"/>
      <c r="E261" s="145"/>
      <c r="F261" s="145"/>
      <c r="G261" s="145"/>
      <c r="H261" s="145"/>
      <c r="I261" s="145"/>
      <c r="J261" s="145"/>
      <c r="K261" s="145"/>
      <c r="L261" s="145"/>
      <c r="M261" s="145"/>
    </row>
    <row r="263" spans="1:13">
      <c r="A263" s="246" t="s">
        <v>791</v>
      </c>
      <c r="B263" s="246"/>
      <c r="C263" s="246"/>
      <c r="D263" s="246"/>
      <c r="E263" s="246"/>
      <c r="F263" s="246"/>
      <c r="G263" s="246"/>
      <c r="H263" s="246"/>
      <c r="I263" s="246"/>
      <c r="J263" s="246"/>
      <c r="K263" s="246"/>
      <c r="L263" s="246"/>
      <c r="M263" s="246"/>
    </row>
    <row r="264" spans="1:13">
      <c r="A264" s="145" t="s">
        <v>89</v>
      </c>
      <c r="B264" s="133"/>
      <c r="C264" s="145"/>
      <c r="D264" s="145"/>
      <c r="E264" s="145"/>
      <c r="F264" s="145"/>
      <c r="G264" s="145"/>
      <c r="H264" s="145"/>
      <c r="I264" s="145"/>
      <c r="J264" s="145"/>
      <c r="K264" s="145"/>
      <c r="L264" s="145"/>
      <c r="M264" s="145"/>
    </row>
    <row r="265" spans="1:13">
      <c r="A265" s="145" t="s">
        <v>792</v>
      </c>
      <c r="B265" s="133"/>
      <c r="C265" s="145"/>
      <c r="D265" s="145"/>
      <c r="E265" s="145"/>
      <c r="F265" s="145"/>
      <c r="G265" s="145"/>
      <c r="H265" s="145"/>
      <c r="I265" s="145"/>
      <c r="J265" s="145"/>
      <c r="K265" s="145"/>
      <c r="L265" s="145"/>
      <c r="M265" s="145"/>
    </row>
    <row r="266" spans="1:13">
      <c r="A266" s="145"/>
      <c r="B266" s="133"/>
      <c r="C266" s="145"/>
      <c r="D266" s="145"/>
      <c r="E266" s="145"/>
      <c r="F266" s="145"/>
      <c r="G266" s="145"/>
      <c r="H266" s="145"/>
      <c r="I266" s="145"/>
      <c r="J266" s="145"/>
      <c r="K266" s="145"/>
      <c r="L266" s="145"/>
      <c r="M266" s="145"/>
    </row>
    <row r="267" spans="1:13">
      <c r="A267" s="246" t="s">
        <v>403</v>
      </c>
      <c r="B267" s="246"/>
      <c r="C267" s="246"/>
      <c r="D267" s="246"/>
      <c r="E267" s="246"/>
      <c r="F267" s="246"/>
      <c r="G267" s="246"/>
      <c r="H267" s="246"/>
      <c r="I267" s="246"/>
      <c r="J267" s="246"/>
      <c r="K267" s="246"/>
      <c r="L267" s="246"/>
      <c r="M267" s="246"/>
    </row>
    <row r="268" spans="1:13">
      <c r="A268" s="145" t="s">
        <v>89</v>
      </c>
      <c r="B268" s="133"/>
      <c r="C268" s="145"/>
      <c r="D268" s="145"/>
      <c r="E268" s="145"/>
      <c r="F268" s="145"/>
      <c r="G268" s="145"/>
      <c r="H268" s="145"/>
      <c r="I268" s="145"/>
      <c r="J268" s="145"/>
      <c r="K268" s="145"/>
      <c r="L268" s="145"/>
      <c r="M268" s="145"/>
    </row>
    <row r="269" spans="1:13">
      <c r="A269" s="145" t="s">
        <v>604</v>
      </c>
      <c r="B269" s="133"/>
      <c r="C269" s="145"/>
      <c r="D269" s="145"/>
      <c r="E269" s="145"/>
      <c r="F269" s="145"/>
      <c r="G269" s="145"/>
      <c r="H269" s="145"/>
      <c r="I269" s="145"/>
      <c r="J269" s="145"/>
      <c r="K269" s="145"/>
      <c r="L269" s="145"/>
      <c r="M269" s="145"/>
    </row>
    <row r="270" spans="1:13">
      <c r="A270" t="s">
        <v>764</v>
      </c>
    </row>
    <row r="271" spans="1:13">
      <c r="A271" t="s">
        <v>765</v>
      </c>
    </row>
    <row r="272" spans="1:13">
      <c r="A272" t="s">
        <v>766</v>
      </c>
    </row>
  </sheetData>
  <sortState ref="A74:A85">
    <sortCondition ref="A74"/>
  </sortState>
  <mergeCells count="6">
    <mergeCell ref="A267:M267"/>
    <mergeCell ref="A243:M243"/>
    <mergeCell ref="A212:M212"/>
    <mergeCell ref="A253:M253"/>
    <mergeCell ref="A258:M258"/>
    <mergeCell ref="A263:M263"/>
  </mergeCell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ull4"/>
  <dimension ref="B1:F57"/>
  <sheetViews>
    <sheetView workbookViewId="0">
      <selection activeCell="I32" sqref="I32"/>
    </sheetView>
  </sheetViews>
  <sheetFormatPr baseColWidth="10" defaultColWidth="9.140625" defaultRowHeight="15"/>
  <cols>
    <col min="4" max="4" width="24.7109375" customWidth="1"/>
    <col min="6" max="6" width="11.7109375" customWidth="1"/>
  </cols>
  <sheetData>
    <row r="1" spans="2:6" s="44" customFormat="1" ht="15.75">
      <c r="B1" s="55" t="s">
        <v>217</v>
      </c>
      <c r="C1" s="55"/>
      <c r="D1" s="55"/>
      <c r="E1" s="55"/>
      <c r="F1" s="55"/>
    </row>
    <row r="3" spans="2:6">
      <c r="B3" s="46" t="s">
        <v>226</v>
      </c>
      <c r="C3" s="47">
        <v>38.06</v>
      </c>
      <c r="D3" s="48" t="s">
        <v>202</v>
      </c>
      <c r="E3" s="49" t="s">
        <v>218</v>
      </c>
      <c r="F3" s="49" t="s">
        <v>270</v>
      </c>
    </row>
    <row r="4" spans="2:6">
      <c r="B4" s="46" t="s">
        <v>227</v>
      </c>
      <c r="C4" s="47">
        <v>40.92</v>
      </c>
      <c r="D4" s="48" t="s">
        <v>202</v>
      </c>
      <c r="E4" s="49" t="s">
        <v>218</v>
      </c>
      <c r="F4" s="49" t="s">
        <v>271</v>
      </c>
    </row>
    <row r="5" spans="2:6">
      <c r="B5" s="46" t="s">
        <v>228</v>
      </c>
      <c r="C5" s="47">
        <v>44.5</v>
      </c>
      <c r="D5" s="48" t="s">
        <v>202</v>
      </c>
      <c r="E5" s="49" t="s">
        <v>218</v>
      </c>
      <c r="F5" s="49" t="s">
        <v>139</v>
      </c>
    </row>
    <row r="6" spans="2:6">
      <c r="B6" s="46" t="s">
        <v>230</v>
      </c>
      <c r="C6" s="47">
        <v>44.5</v>
      </c>
      <c r="D6" s="48" t="s">
        <v>202</v>
      </c>
      <c r="E6" s="49" t="s">
        <v>218</v>
      </c>
      <c r="F6" s="49" t="s">
        <v>272</v>
      </c>
    </row>
    <row r="7" spans="2:6">
      <c r="B7" s="46" t="s">
        <v>184</v>
      </c>
      <c r="C7" s="47"/>
      <c r="D7" s="48" t="s">
        <v>202</v>
      </c>
      <c r="E7" s="49" t="s">
        <v>218</v>
      </c>
      <c r="F7" s="49"/>
    </row>
    <row r="8" spans="2:6">
      <c r="B8" s="50" t="s">
        <v>231</v>
      </c>
      <c r="C8" s="51">
        <v>36.57</v>
      </c>
      <c r="D8" s="52" t="s">
        <v>203</v>
      </c>
      <c r="E8" s="53" t="s">
        <v>218</v>
      </c>
      <c r="F8" s="50" t="s">
        <v>270</v>
      </c>
    </row>
    <row r="9" spans="2:6">
      <c r="B9" s="50" t="s">
        <v>232</v>
      </c>
      <c r="C9" s="51">
        <v>36.450000000000003</v>
      </c>
      <c r="D9" s="52" t="s">
        <v>203</v>
      </c>
      <c r="E9" s="53" t="s">
        <v>218</v>
      </c>
      <c r="F9" s="50" t="s">
        <v>271</v>
      </c>
    </row>
    <row r="10" spans="2:6">
      <c r="B10" s="50" t="s">
        <v>233</v>
      </c>
      <c r="C10" s="51">
        <v>33.29</v>
      </c>
      <c r="D10" s="52" t="s">
        <v>203</v>
      </c>
      <c r="E10" s="53" t="s">
        <v>218</v>
      </c>
      <c r="F10" s="50" t="s">
        <v>139</v>
      </c>
    </row>
    <row r="11" spans="2:6">
      <c r="B11" s="50" t="s">
        <v>234</v>
      </c>
      <c r="C11" s="51">
        <v>37.520000000000003</v>
      </c>
      <c r="D11" s="52" t="s">
        <v>203</v>
      </c>
      <c r="E11" s="53" t="s">
        <v>218</v>
      </c>
      <c r="F11" s="50" t="s">
        <v>272</v>
      </c>
    </row>
    <row r="12" spans="2:6">
      <c r="B12" s="50" t="s">
        <v>185</v>
      </c>
      <c r="C12" s="51"/>
      <c r="D12" s="52" t="s">
        <v>203</v>
      </c>
      <c r="E12" s="53" t="s">
        <v>218</v>
      </c>
      <c r="F12" s="50"/>
    </row>
    <row r="13" spans="2:6">
      <c r="B13" s="46" t="s">
        <v>235</v>
      </c>
      <c r="C13" s="47">
        <v>36.42</v>
      </c>
      <c r="D13" s="48" t="s">
        <v>195</v>
      </c>
      <c r="E13" s="49" t="s">
        <v>218</v>
      </c>
      <c r="F13" s="49" t="s">
        <v>270</v>
      </c>
    </row>
    <row r="14" spans="2:6">
      <c r="B14" s="46" t="s">
        <v>236</v>
      </c>
      <c r="C14" s="47">
        <v>38.11</v>
      </c>
      <c r="D14" s="48" t="s">
        <v>195</v>
      </c>
      <c r="E14" s="49" t="s">
        <v>218</v>
      </c>
      <c r="F14" s="49" t="s">
        <v>271</v>
      </c>
    </row>
    <row r="15" spans="2:6">
      <c r="B15" s="46" t="s">
        <v>237</v>
      </c>
      <c r="C15" s="47">
        <v>33.44</v>
      </c>
      <c r="D15" s="48" t="s">
        <v>195</v>
      </c>
      <c r="E15" s="49" t="s">
        <v>218</v>
      </c>
      <c r="F15" s="49" t="s">
        <v>139</v>
      </c>
    </row>
    <row r="16" spans="2:6">
      <c r="B16" s="46" t="s">
        <v>238</v>
      </c>
      <c r="C16" s="47">
        <v>34.74</v>
      </c>
      <c r="D16" s="48" t="s">
        <v>195</v>
      </c>
      <c r="E16" s="49" t="s">
        <v>218</v>
      </c>
      <c r="F16" s="49" t="s">
        <v>272</v>
      </c>
    </row>
    <row r="17" spans="2:6">
      <c r="B17" s="46" t="s">
        <v>186</v>
      </c>
      <c r="C17" s="47"/>
      <c r="D17" s="48" t="s">
        <v>195</v>
      </c>
      <c r="E17" s="49" t="s">
        <v>218</v>
      </c>
      <c r="F17" s="49"/>
    </row>
    <row r="18" spans="2:6">
      <c r="B18" s="50" t="s">
        <v>239</v>
      </c>
      <c r="C18" s="51">
        <v>34.6</v>
      </c>
      <c r="D18" s="52" t="s">
        <v>200</v>
      </c>
      <c r="E18" s="54" t="s">
        <v>219</v>
      </c>
      <c r="F18" s="50" t="s">
        <v>270</v>
      </c>
    </row>
    <row r="19" spans="2:6">
      <c r="B19" s="50" t="s">
        <v>240</v>
      </c>
      <c r="C19" s="51">
        <v>34.6</v>
      </c>
      <c r="D19" s="52" t="s">
        <v>200</v>
      </c>
      <c r="E19" s="54" t="s">
        <v>219</v>
      </c>
      <c r="F19" s="50" t="s">
        <v>271</v>
      </c>
    </row>
    <row r="20" spans="2:6">
      <c r="B20" s="50" t="s">
        <v>241</v>
      </c>
      <c r="C20" s="51">
        <v>34.6</v>
      </c>
      <c r="D20" s="52" t="s">
        <v>200</v>
      </c>
      <c r="E20" s="54" t="s">
        <v>219</v>
      </c>
      <c r="F20" s="50" t="s">
        <v>139</v>
      </c>
    </row>
    <row r="21" spans="2:6">
      <c r="B21" s="50" t="s">
        <v>229</v>
      </c>
      <c r="C21" s="51">
        <v>39.94</v>
      </c>
      <c r="D21" s="52" t="s">
        <v>200</v>
      </c>
      <c r="E21" s="54" t="s">
        <v>219</v>
      </c>
      <c r="F21" s="50" t="s">
        <v>272</v>
      </c>
    </row>
    <row r="22" spans="2:6">
      <c r="B22" s="50" t="s">
        <v>187</v>
      </c>
      <c r="C22" s="51"/>
      <c r="D22" s="52" t="s">
        <v>200</v>
      </c>
      <c r="E22" s="54" t="s">
        <v>219</v>
      </c>
      <c r="F22" s="50"/>
    </row>
    <row r="23" spans="2:6">
      <c r="B23" s="46" t="s">
        <v>242</v>
      </c>
      <c r="C23" s="47">
        <v>38</v>
      </c>
      <c r="D23" s="48" t="s">
        <v>201</v>
      </c>
      <c r="E23" s="49" t="s">
        <v>220</v>
      </c>
      <c r="F23" s="49" t="s">
        <v>270</v>
      </c>
    </row>
    <row r="24" spans="2:6">
      <c r="B24" s="46" t="s">
        <v>243</v>
      </c>
      <c r="C24" s="47">
        <v>37</v>
      </c>
      <c r="D24" s="48" t="s">
        <v>201</v>
      </c>
      <c r="E24" s="49" t="s">
        <v>220</v>
      </c>
      <c r="F24" s="49" t="s">
        <v>271</v>
      </c>
    </row>
    <row r="25" spans="2:6">
      <c r="B25" s="46" t="s">
        <v>244</v>
      </c>
      <c r="C25" s="47">
        <v>30</v>
      </c>
      <c r="D25" s="48" t="s">
        <v>201</v>
      </c>
      <c r="E25" s="49" t="s">
        <v>220</v>
      </c>
      <c r="F25" s="49" t="s">
        <v>139</v>
      </c>
    </row>
    <row r="26" spans="2:6">
      <c r="B26" s="46" t="s">
        <v>245</v>
      </c>
      <c r="C26" s="47">
        <v>43</v>
      </c>
      <c r="D26" s="48" t="s">
        <v>201</v>
      </c>
      <c r="E26" s="49" t="s">
        <v>220</v>
      </c>
      <c r="F26" s="49" t="s">
        <v>272</v>
      </c>
    </row>
    <row r="27" spans="2:6">
      <c r="B27" s="46" t="s">
        <v>188</v>
      </c>
      <c r="C27" s="47"/>
      <c r="D27" s="48" t="s">
        <v>201</v>
      </c>
      <c r="E27" s="49" t="s">
        <v>220</v>
      </c>
      <c r="F27" s="49"/>
    </row>
    <row r="28" spans="2:6">
      <c r="B28" s="50" t="s">
        <v>246</v>
      </c>
      <c r="C28" s="51">
        <v>37.5</v>
      </c>
      <c r="D28" s="52" t="s">
        <v>198</v>
      </c>
      <c r="E28" s="54" t="s">
        <v>221</v>
      </c>
      <c r="F28" s="50" t="s">
        <v>270</v>
      </c>
    </row>
    <row r="29" spans="2:6">
      <c r="B29" s="50" t="s">
        <v>247</v>
      </c>
      <c r="C29" s="51">
        <v>32</v>
      </c>
      <c r="D29" s="52" t="s">
        <v>198</v>
      </c>
      <c r="E29" s="54" t="s">
        <v>221</v>
      </c>
      <c r="F29" s="50" t="s">
        <v>271</v>
      </c>
    </row>
    <row r="30" spans="2:6">
      <c r="B30" s="50" t="s">
        <v>248</v>
      </c>
      <c r="C30" s="51">
        <v>32</v>
      </c>
      <c r="D30" s="52" t="s">
        <v>198</v>
      </c>
      <c r="E30" s="54" t="s">
        <v>221</v>
      </c>
      <c r="F30" s="50" t="s">
        <v>139</v>
      </c>
    </row>
    <row r="31" spans="2:6">
      <c r="B31" s="50" t="s">
        <v>249</v>
      </c>
      <c r="C31" s="51">
        <v>37</v>
      </c>
      <c r="D31" s="52" t="s">
        <v>198</v>
      </c>
      <c r="E31" s="54" t="s">
        <v>221</v>
      </c>
      <c r="F31" s="50" t="s">
        <v>272</v>
      </c>
    </row>
    <row r="32" spans="2:6">
      <c r="B32" s="50" t="s">
        <v>189</v>
      </c>
      <c r="C32" s="51"/>
      <c r="D32" s="52" t="s">
        <v>198</v>
      </c>
      <c r="E32" s="54" t="s">
        <v>221</v>
      </c>
      <c r="F32" s="50"/>
    </row>
    <row r="33" spans="2:6">
      <c r="B33" s="46" t="s">
        <v>250</v>
      </c>
      <c r="C33" s="47">
        <v>35</v>
      </c>
      <c r="D33" s="48" t="s">
        <v>199</v>
      </c>
      <c r="E33" s="49" t="s">
        <v>222</v>
      </c>
      <c r="F33" s="49" t="s">
        <v>270</v>
      </c>
    </row>
    <row r="34" spans="2:6">
      <c r="B34" s="46" t="s">
        <v>251</v>
      </c>
      <c r="C34" s="47">
        <v>35</v>
      </c>
      <c r="D34" s="48" t="s">
        <v>199</v>
      </c>
      <c r="E34" s="49" t="s">
        <v>222</v>
      </c>
      <c r="F34" s="49" t="s">
        <v>271</v>
      </c>
    </row>
    <row r="35" spans="2:6">
      <c r="B35" s="46" t="s">
        <v>252</v>
      </c>
      <c r="C35" s="47">
        <v>35</v>
      </c>
      <c r="D35" s="48" t="s">
        <v>199</v>
      </c>
      <c r="E35" s="49" t="s">
        <v>222</v>
      </c>
      <c r="F35" s="49" t="s">
        <v>139</v>
      </c>
    </row>
    <row r="36" spans="2:6">
      <c r="B36" s="46" t="s">
        <v>253</v>
      </c>
      <c r="C36" s="47">
        <v>0</v>
      </c>
      <c r="D36" s="48" t="s">
        <v>199</v>
      </c>
      <c r="E36" s="49" t="s">
        <v>222</v>
      </c>
      <c r="F36" s="49" t="s">
        <v>272</v>
      </c>
    </row>
    <row r="37" spans="2:6">
      <c r="B37" s="46" t="s">
        <v>190</v>
      </c>
      <c r="C37" s="47"/>
      <c r="D37" s="48" t="s">
        <v>199</v>
      </c>
      <c r="E37" s="49" t="s">
        <v>222</v>
      </c>
      <c r="F37" s="49"/>
    </row>
    <row r="38" spans="2:6">
      <c r="B38" s="50" t="s">
        <v>254</v>
      </c>
      <c r="C38" s="51">
        <v>35.9</v>
      </c>
      <c r="D38" s="52" t="s">
        <v>205</v>
      </c>
      <c r="E38" s="54" t="s">
        <v>223</v>
      </c>
      <c r="F38" s="50" t="s">
        <v>270</v>
      </c>
    </row>
    <row r="39" spans="2:6">
      <c r="B39" s="50" t="s">
        <v>255</v>
      </c>
      <c r="C39" s="51">
        <v>33.92</v>
      </c>
      <c r="D39" s="52" t="s">
        <v>205</v>
      </c>
      <c r="E39" s="54" t="s">
        <v>223</v>
      </c>
      <c r="F39" s="50" t="s">
        <v>271</v>
      </c>
    </row>
    <row r="40" spans="2:6">
      <c r="B40" s="50" t="s">
        <v>256</v>
      </c>
      <c r="C40" s="51">
        <v>33.47</v>
      </c>
      <c r="D40" s="52" t="s">
        <v>205</v>
      </c>
      <c r="E40" s="54" t="s">
        <v>223</v>
      </c>
      <c r="F40" s="50" t="s">
        <v>139</v>
      </c>
    </row>
    <row r="41" spans="2:6">
      <c r="B41" s="50" t="s">
        <v>257</v>
      </c>
      <c r="C41" s="51">
        <v>46.6</v>
      </c>
      <c r="D41" s="52" t="s">
        <v>205</v>
      </c>
      <c r="E41" s="54" t="s">
        <v>223</v>
      </c>
      <c r="F41" s="50" t="s">
        <v>272</v>
      </c>
    </row>
    <row r="42" spans="2:6">
      <c r="B42" s="50" t="s">
        <v>191</v>
      </c>
      <c r="C42" s="51"/>
      <c r="D42" s="52" t="s">
        <v>205</v>
      </c>
      <c r="E42" s="54" t="s">
        <v>223</v>
      </c>
      <c r="F42" s="50"/>
    </row>
    <row r="43" spans="2:6">
      <c r="B43" s="46" t="s">
        <v>258</v>
      </c>
      <c r="C43" s="47">
        <v>35</v>
      </c>
      <c r="D43" s="48" t="s">
        <v>204</v>
      </c>
      <c r="E43" s="49" t="s">
        <v>222</v>
      </c>
      <c r="F43" s="49" t="s">
        <v>270</v>
      </c>
    </row>
    <row r="44" spans="2:6">
      <c r="B44" s="46" t="s">
        <v>259</v>
      </c>
      <c r="C44" s="47">
        <v>0</v>
      </c>
      <c r="D44" s="48" t="s">
        <v>204</v>
      </c>
      <c r="E44" s="49" t="s">
        <v>222</v>
      </c>
      <c r="F44" s="49" t="s">
        <v>271</v>
      </c>
    </row>
    <row r="45" spans="2:6">
      <c r="B45" s="46" t="s">
        <v>260</v>
      </c>
      <c r="C45" s="47">
        <v>35</v>
      </c>
      <c r="D45" s="48" t="s">
        <v>204</v>
      </c>
      <c r="E45" s="49" t="s">
        <v>222</v>
      </c>
      <c r="F45" s="49" t="s">
        <v>139</v>
      </c>
    </row>
    <row r="46" spans="2:6">
      <c r="B46" s="46" t="s">
        <v>261</v>
      </c>
      <c r="C46" s="47">
        <v>0</v>
      </c>
      <c r="D46" s="48" t="s">
        <v>204</v>
      </c>
      <c r="E46" s="49" t="s">
        <v>222</v>
      </c>
      <c r="F46" s="49" t="s">
        <v>272</v>
      </c>
    </row>
    <row r="47" spans="2:6">
      <c r="B47" s="46" t="s">
        <v>192</v>
      </c>
      <c r="C47" s="47"/>
      <c r="D47" s="48" t="s">
        <v>204</v>
      </c>
      <c r="E47" s="49" t="s">
        <v>222</v>
      </c>
      <c r="F47" s="49"/>
    </row>
    <row r="48" spans="2:6">
      <c r="B48" s="50" t="s">
        <v>262</v>
      </c>
      <c r="C48" s="51">
        <v>35.840000000000003</v>
      </c>
      <c r="D48" s="52" t="s">
        <v>196</v>
      </c>
      <c r="E48" s="54" t="s">
        <v>224</v>
      </c>
      <c r="F48" s="50" t="s">
        <v>270</v>
      </c>
    </row>
    <row r="49" spans="2:6">
      <c r="B49" s="50" t="s">
        <v>263</v>
      </c>
      <c r="C49" s="51">
        <v>37.28</v>
      </c>
      <c r="D49" s="52" t="s">
        <v>196</v>
      </c>
      <c r="E49" s="54" t="s">
        <v>224</v>
      </c>
      <c r="F49" s="50" t="s">
        <v>271</v>
      </c>
    </row>
    <row r="50" spans="2:6">
      <c r="B50" s="50" t="s">
        <v>264</v>
      </c>
      <c r="C50" s="51">
        <v>37.28</v>
      </c>
      <c r="D50" s="52" t="s">
        <v>196</v>
      </c>
      <c r="E50" s="54" t="s">
        <v>224</v>
      </c>
      <c r="F50" s="50" t="s">
        <v>139</v>
      </c>
    </row>
    <row r="51" spans="2:6">
      <c r="B51" s="50" t="s">
        <v>265</v>
      </c>
      <c r="C51" s="51">
        <v>38.71</v>
      </c>
      <c r="D51" s="52" t="s">
        <v>196</v>
      </c>
      <c r="E51" s="54" t="s">
        <v>224</v>
      </c>
      <c r="F51" s="50" t="s">
        <v>272</v>
      </c>
    </row>
    <row r="52" spans="2:6">
      <c r="B52" s="50" t="s">
        <v>193</v>
      </c>
      <c r="C52" s="51"/>
      <c r="D52" s="52" t="s">
        <v>196</v>
      </c>
      <c r="E52" s="54" t="s">
        <v>224</v>
      </c>
      <c r="F52" s="50"/>
    </row>
    <row r="53" spans="2:6">
      <c r="B53" s="46" t="s">
        <v>266</v>
      </c>
      <c r="C53" s="47">
        <v>36.32</v>
      </c>
      <c r="D53" s="48" t="s">
        <v>197</v>
      </c>
      <c r="E53" s="49" t="s">
        <v>225</v>
      </c>
      <c r="F53" s="49" t="s">
        <v>270</v>
      </c>
    </row>
    <row r="54" spans="2:6">
      <c r="B54" s="46" t="s">
        <v>267</v>
      </c>
      <c r="C54" s="47">
        <v>34.82</v>
      </c>
      <c r="D54" s="48" t="s">
        <v>197</v>
      </c>
      <c r="E54" s="49" t="s">
        <v>225</v>
      </c>
      <c r="F54" s="49" t="s">
        <v>271</v>
      </c>
    </row>
    <row r="55" spans="2:6">
      <c r="B55" s="46" t="s">
        <v>268</v>
      </c>
      <c r="C55" s="47">
        <v>30.87</v>
      </c>
      <c r="D55" s="48" t="s">
        <v>197</v>
      </c>
      <c r="E55" s="49" t="s">
        <v>225</v>
      </c>
      <c r="F55" s="49" t="s">
        <v>139</v>
      </c>
    </row>
    <row r="56" spans="2:6">
      <c r="B56" s="46" t="s">
        <v>269</v>
      </c>
      <c r="C56" s="47">
        <v>0</v>
      </c>
      <c r="D56" s="48" t="s">
        <v>197</v>
      </c>
      <c r="E56" s="49" t="s">
        <v>225</v>
      </c>
      <c r="F56" s="49" t="s">
        <v>272</v>
      </c>
    </row>
    <row r="57" spans="2:6">
      <c r="B57" s="46" t="s">
        <v>194</v>
      </c>
      <c r="C57" s="47"/>
      <c r="D57" s="48" t="s">
        <v>197</v>
      </c>
      <c r="E57" s="49" t="s">
        <v>225</v>
      </c>
      <c r="F57" s="4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ull5"/>
  <dimension ref="A1:EE2"/>
  <sheetViews>
    <sheetView workbookViewId="0">
      <selection activeCell="G2" sqref="G2"/>
    </sheetView>
  </sheetViews>
  <sheetFormatPr baseColWidth="10" defaultColWidth="11.42578125" defaultRowHeight="15"/>
  <cols>
    <col min="7" max="7" width="10.28515625" customWidth="1"/>
    <col min="8" max="27" width="9.140625"/>
    <col min="28" max="28" width="10.7109375" bestFit="1" customWidth="1"/>
    <col min="29" max="63" width="9.140625"/>
    <col min="64" max="64" width="10.140625" bestFit="1" customWidth="1"/>
  </cols>
  <sheetData>
    <row r="1" spans="1:135" ht="90" customHeight="1">
      <c r="A1" s="60" t="s">
        <v>276</v>
      </c>
      <c r="B1" s="60" t="s">
        <v>277</v>
      </c>
      <c r="C1" s="60" t="s">
        <v>0</v>
      </c>
      <c r="D1" s="60" t="s">
        <v>278</v>
      </c>
      <c r="E1" s="60" t="s">
        <v>279</v>
      </c>
      <c r="F1" s="60" t="s">
        <v>280</v>
      </c>
      <c r="G1" s="60" t="s">
        <v>344</v>
      </c>
      <c r="H1" s="60" t="s">
        <v>7</v>
      </c>
      <c r="I1" s="60" t="s">
        <v>281</v>
      </c>
      <c r="J1" s="60" t="s">
        <v>282</v>
      </c>
      <c r="K1" s="60" t="s">
        <v>283</v>
      </c>
      <c r="L1" s="60" t="s">
        <v>284</v>
      </c>
      <c r="M1" s="60" t="s">
        <v>285</v>
      </c>
      <c r="N1" s="60" t="s">
        <v>137</v>
      </c>
      <c r="O1" s="60" t="s">
        <v>286</v>
      </c>
      <c r="P1" s="60" t="s">
        <v>287</v>
      </c>
      <c r="Q1" s="60" t="s">
        <v>288</v>
      </c>
      <c r="R1" s="60" t="s">
        <v>11</v>
      </c>
      <c r="S1" s="60" t="s">
        <v>12</v>
      </c>
      <c r="T1" s="60" t="s">
        <v>289</v>
      </c>
      <c r="U1" s="61" t="s">
        <v>290</v>
      </c>
      <c r="V1" s="61" t="s">
        <v>291</v>
      </c>
      <c r="W1" s="60" t="s">
        <v>292</v>
      </c>
      <c r="X1" s="60" t="s">
        <v>293</v>
      </c>
      <c r="Y1" s="60" t="s">
        <v>294</v>
      </c>
      <c r="Z1" s="60" t="s">
        <v>295</v>
      </c>
      <c r="AA1" s="60" t="s">
        <v>296</v>
      </c>
      <c r="AB1" s="60" t="s">
        <v>297</v>
      </c>
      <c r="AC1" s="60" t="s">
        <v>16</v>
      </c>
      <c r="AD1" s="60" t="s">
        <v>298</v>
      </c>
      <c r="AE1" s="60" t="s">
        <v>299</v>
      </c>
      <c r="AF1" s="60" t="s">
        <v>300</v>
      </c>
      <c r="AG1" s="60" t="s">
        <v>301</v>
      </c>
      <c r="AH1" s="60" t="s">
        <v>302</v>
      </c>
      <c r="AI1" s="60" t="s">
        <v>303</v>
      </c>
      <c r="AJ1" s="62" t="s">
        <v>304</v>
      </c>
      <c r="AK1" s="60" t="s">
        <v>305</v>
      </c>
      <c r="AL1" s="60" t="s">
        <v>306</v>
      </c>
      <c r="AM1" s="60" t="s">
        <v>307</v>
      </c>
      <c r="AN1" s="60" t="s">
        <v>308</v>
      </c>
      <c r="AO1" s="60" t="s">
        <v>309</v>
      </c>
      <c r="AP1" s="60" t="s">
        <v>310</v>
      </c>
      <c r="AQ1" s="62" t="s">
        <v>311</v>
      </c>
      <c r="AR1" s="60" t="s">
        <v>312</v>
      </c>
      <c r="AS1" s="60" t="s">
        <v>313</v>
      </c>
      <c r="AT1" s="60" t="s">
        <v>314</v>
      </c>
      <c r="AU1" s="60" t="s">
        <v>19</v>
      </c>
      <c r="AV1" s="60" t="s">
        <v>315</v>
      </c>
      <c r="AW1" s="60" t="s">
        <v>316</v>
      </c>
      <c r="AX1" s="60" t="s">
        <v>20</v>
      </c>
      <c r="AY1" s="60" t="s">
        <v>317</v>
      </c>
      <c r="AZ1" s="60" t="s">
        <v>318</v>
      </c>
      <c r="BA1" s="60" t="s">
        <v>21</v>
      </c>
      <c r="BB1" s="60" t="s">
        <v>22</v>
      </c>
      <c r="BC1" s="60" t="s">
        <v>23</v>
      </c>
      <c r="BD1" s="60" t="s">
        <v>319</v>
      </c>
      <c r="BE1" s="60" t="s">
        <v>320</v>
      </c>
      <c r="BF1" s="60" t="s">
        <v>321</v>
      </c>
      <c r="BG1" s="60" t="s">
        <v>322</v>
      </c>
      <c r="BH1" s="60" t="s">
        <v>25</v>
      </c>
      <c r="BI1" s="60" t="s">
        <v>26</v>
      </c>
      <c r="BJ1" s="60" t="s">
        <v>27</v>
      </c>
      <c r="BK1" s="60" t="s">
        <v>28</v>
      </c>
      <c r="BL1" s="60" t="s">
        <v>29</v>
      </c>
      <c r="BM1" s="60" t="s">
        <v>30</v>
      </c>
      <c r="BN1" s="60" t="s">
        <v>323</v>
      </c>
      <c r="BO1" s="60" t="s">
        <v>324</v>
      </c>
      <c r="BP1" s="61" t="s">
        <v>325</v>
      </c>
      <c r="BQ1" s="61" t="s">
        <v>326</v>
      </c>
      <c r="BR1" s="61" t="s">
        <v>327</v>
      </c>
      <c r="BS1" s="63" t="s">
        <v>328</v>
      </c>
      <c r="BT1" s="63" t="s">
        <v>329</v>
      </c>
      <c r="BU1" s="63" t="s">
        <v>330</v>
      </c>
      <c r="BV1" s="63" t="s">
        <v>331</v>
      </c>
      <c r="BW1" s="63" t="s">
        <v>332</v>
      </c>
      <c r="BX1" s="63" t="s">
        <v>333</v>
      </c>
      <c r="BY1" s="63" t="s">
        <v>334</v>
      </c>
      <c r="BZ1" s="63" t="s">
        <v>335</v>
      </c>
      <c r="CA1" s="63" t="s">
        <v>336</v>
      </c>
      <c r="CB1" s="63" t="s">
        <v>337</v>
      </c>
      <c r="CC1" s="68" t="s">
        <v>338</v>
      </c>
      <c r="CD1" s="68" t="s">
        <v>345</v>
      </c>
      <c r="CE1" s="63" t="s">
        <v>346</v>
      </c>
      <c r="CF1" s="63" t="s">
        <v>347</v>
      </c>
      <c r="CG1" s="63" t="s">
        <v>348</v>
      </c>
      <c r="CH1" s="63" t="s">
        <v>339</v>
      </c>
      <c r="CI1" s="63" t="s">
        <v>340</v>
      </c>
      <c r="CJ1" s="64" t="s">
        <v>341</v>
      </c>
      <c r="CK1" s="64" t="s">
        <v>342</v>
      </c>
      <c r="CL1" s="64" t="s">
        <v>343</v>
      </c>
      <c r="CM1" s="69" t="s">
        <v>349</v>
      </c>
      <c r="CN1" s="69" t="s">
        <v>350</v>
      </c>
      <c r="CO1" s="70" t="s">
        <v>351</v>
      </c>
      <c r="CP1" s="71" t="s">
        <v>352</v>
      </c>
      <c r="CQ1" s="71" t="s">
        <v>353</v>
      </c>
      <c r="CR1" s="71" t="s">
        <v>354</v>
      </c>
      <c r="CS1" s="72" t="s">
        <v>355</v>
      </c>
      <c r="CT1" s="72" t="s">
        <v>356</v>
      </c>
      <c r="CU1" s="72" t="s">
        <v>357</v>
      </c>
      <c r="CV1" s="73" t="s">
        <v>358</v>
      </c>
      <c r="CW1" s="74" t="s">
        <v>359</v>
      </c>
      <c r="CX1" s="74" t="s">
        <v>360</v>
      </c>
      <c r="CY1" s="74" t="s">
        <v>361</v>
      </c>
      <c r="CZ1" s="74" t="s">
        <v>362</v>
      </c>
      <c r="DA1" s="75" t="s">
        <v>363</v>
      </c>
      <c r="DB1" s="76" t="s">
        <v>364</v>
      </c>
      <c r="DC1" s="76" t="s">
        <v>365</v>
      </c>
      <c r="DD1" s="77" t="s">
        <v>366</v>
      </c>
      <c r="DE1" s="78" t="s">
        <v>367</v>
      </c>
      <c r="DF1" s="79" t="s">
        <v>368</v>
      </c>
      <c r="DG1" s="80" t="s">
        <v>369</v>
      </c>
      <c r="DH1" s="79" t="s">
        <v>370</v>
      </c>
      <c r="DI1" s="80" t="s">
        <v>371</v>
      </c>
      <c r="DJ1" s="81" t="s">
        <v>372</v>
      </c>
      <c r="DK1" s="81" t="s">
        <v>373</v>
      </c>
      <c r="DL1" s="81" t="s">
        <v>374</v>
      </c>
      <c r="DM1" s="81" t="s">
        <v>375</v>
      </c>
      <c r="DN1" s="81" t="s">
        <v>376</v>
      </c>
      <c r="DO1" s="81" t="s">
        <v>377</v>
      </c>
      <c r="DP1" s="82" t="s">
        <v>378</v>
      </c>
      <c r="DQ1" s="83" t="s">
        <v>379</v>
      </c>
      <c r="DR1" s="83" t="s">
        <v>380</v>
      </c>
      <c r="DS1" s="83" t="s">
        <v>381</v>
      </c>
      <c r="DT1" s="83" t="s">
        <v>382</v>
      </c>
      <c r="DU1" s="79" t="s">
        <v>383</v>
      </c>
      <c r="DV1" s="84" t="s">
        <v>384</v>
      </c>
      <c r="DW1" s="84" t="s">
        <v>385</v>
      </c>
      <c r="DX1" s="85" t="s">
        <v>386</v>
      </c>
      <c r="DY1" s="85" t="s">
        <v>387</v>
      </c>
      <c r="DZ1" s="86" t="s">
        <v>388</v>
      </c>
      <c r="EA1" s="85" t="s">
        <v>389</v>
      </c>
      <c r="EB1" s="85" t="s">
        <v>390</v>
      </c>
      <c r="EC1" s="69" t="s">
        <v>391</v>
      </c>
      <c r="ED1" s="71" t="s">
        <v>392</v>
      </c>
      <c r="EE1" s="87" t="s">
        <v>393</v>
      </c>
    </row>
    <row r="2" spans="1:135">
      <c r="A2" t="str">
        <f>IF('Caracterització v.3.0.1'!K15=0," ",'Caracterització v.3.0.1'!K15)</f>
        <v>Codi diàleg</v>
      </c>
      <c r="B2" t="str">
        <f>IF('Caracterització v.3.0.1'!C3=0," ",'Caracterització v.3.0.1'!C3)</f>
        <v>EMO</v>
      </c>
      <c r="C2" t="str">
        <f>IF(ISNA('Caracterització v.3.0.1'!E3)," ",'Caracterització v.3.0.1'!E3)</f>
        <v>Departament d'Empresa i Ocupació</v>
      </c>
      <c r="E2" t="str">
        <f>IF('Caracterització v.3.0.1'!C5=0," ",'Caracterització v.3.0.1'!C5)</f>
        <v xml:space="preserve"> </v>
      </c>
      <c r="F2" t="str">
        <f>IF('Caracterització v.3.0.1'!C17=0," ",'Caracterització v.3.0.1'!C17)</f>
        <v xml:space="preserve"> </v>
      </c>
      <c r="G2">
        <f>'Caracterització v.3.0.1'!E110</f>
        <v>0</v>
      </c>
      <c r="H2">
        <f>'Caracterització v.3.0.1'!K17</f>
        <v>0</v>
      </c>
      <c r="K2">
        <f>'Caracterització v.3.0.1'!C20</f>
        <v>0</v>
      </c>
      <c r="L2" s="65">
        <f>'Caracterització v.3.0.1'!C48</f>
        <v>0</v>
      </c>
      <c r="M2" s="65"/>
      <c r="N2">
        <f>'Caracterització v.3.0.1'!C37</f>
        <v>0</v>
      </c>
      <c r="O2">
        <f>'Caracterització v.3.0.1'!C39</f>
        <v>0</v>
      </c>
      <c r="P2">
        <f>'Caracterització v.3.0.1'!K39</f>
        <v>0</v>
      </c>
      <c r="Q2">
        <f>'Caracterització v.3.0.1'!C41</f>
        <v>0</v>
      </c>
      <c r="R2">
        <f>'Caracterització v.3.0.1'!K41</f>
        <v>0</v>
      </c>
      <c r="S2">
        <f>'Caracterització v.3.0.1'!C43</f>
        <v>0</v>
      </c>
      <c r="T2">
        <f>'Caracterització v.3.0.1'!K43</f>
        <v>0</v>
      </c>
      <c r="U2" t="e">
        <f>'Caracterització v.3.0.1'!#REF!</f>
        <v>#REF!</v>
      </c>
      <c r="V2" t="e">
        <f>'Caracterització v.3.0.1'!#REF!</f>
        <v>#REF!</v>
      </c>
      <c r="W2" s="65" t="s">
        <v>66</v>
      </c>
      <c r="X2" s="65"/>
      <c r="Y2" t="e">
        <f>'Caracterització v.3.0.1'!#REF!</f>
        <v>#REF!</v>
      </c>
      <c r="Z2">
        <f>'Caracterització v.3.0.1'!C22</f>
        <v>0</v>
      </c>
      <c r="AA2">
        <f>'Caracterització v.3.0.1'!K22</f>
        <v>0</v>
      </c>
      <c r="AB2" s="92">
        <f>'Caracterització v.3.0.1'!C9</f>
        <v>0</v>
      </c>
      <c r="AC2">
        <f>'Caracterització v.3.0.1'!C24</f>
        <v>0</v>
      </c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>
        <f>'Caracterització v.3.0.1'!K24</f>
        <v>0</v>
      </c>
      <c r="AS2">
        <f>'Caracterització v.3.0.1'!C26</f>
        <v>0</v>
      </c>
      <c r="AT2">
        <f>'Caracterització v.3.0.1'!K26</f>
        <v>0</v>
      </c>
      <c r="AU2">
        <f>'Caracterització v.3.0.1'!C28</f>
        <v>0</v>
      </c>
      <c r="AV2">
        <f>'Caracterització v.3.0.1'!K28</f>
        <v>0</v>
      </c>
      <c r="AW2" t="e">
        <f>'Caracterització v.3.0.1'!#REF!</f>
        <v>#REF!</v>
      </c>
      <c r="AX2" t="e">
        <f>'Caracterització v.3.0.1'!#REF!</f>
        <v>#REF!</v>
      </c>
      <c r="AY2">
        <f>'Caracterització v.3.0.1'!C30</f>
        <v>0</v>
      </c>
      <c r="AZ2">
        <f>'Caracterització v.3.0.1'!K30</f>
        <v>0</v>
      </c>
      <c r="BA2" t="e">
        <f>'Caracterització v.3.0.1'!#REF!</f>
        <v>#REF!</v>
      </c>
      <c r="BB2" t="e">
        <f>'Caracterització v.3.0.1'!#REF!</f>
        <v>#REF!</v>
      </c>
      <c r="BC2" s="65" t="e">
        <f>'Caracterització v.3.0.1'!#REF!</f>
        <v>#REF!</v>
      </c>
      <c r="BD2">
        <f>'Caracterització v.3.0.1'!C53</f>
        <v>0</v>
      </c>
      <c r="BE2" t="e">
        <f>'Caracterització v.3.0.1'!#REF!</f>
        <v>#REF!</v>
      </c>
      <c r="BF2" t="e">
        <f>'Caracterització v.3.0.1'!#REF!</f>
        <v>#REF!</v>
      </c>
      <c r="BG2">
        <f>'Caracterització v.3.0.1'!C32</f>
        <v>0</v>
      </c>
      <c r="BH2">
        <f>'Caracterització v.3.0.1'!C34</f>
        <v>0</v>
      </c>
      <c r="BI2">
        <f>'Caracterització v.3.0.1'!K34</f>
        <v>0</v>
      </c>
      <c r="BJ2">
        <f>'Caracterització v.3.0.1'!K32</f>
        <v>0</v>
      </c>
      <c r="BK2" t="e">
        <f>'Caracterització v.3.0.1'!#REF!</f>
        <v>#REF!</v>
      </c>
      <c r="BL2" s="67" t="e">
        <f>'Caracterització v.3.0.1'!#REF!</f>
        <v>#REF!</v>
      </c>
      <c r="BM2">
        <f>'Caracterització v.3.0.1'!C46</f>
        <v>0</v>
      </c>
      <c r="BN2" t="str">
        <f>'Caracterització v.3.0.1'!F46</f>
        <v/>
      </c>
      <c r="BO2" s="65"/>
      <c r="BP2" t="str">
        <f>'Caracterització v.3.0.1'!C50</f>
        <v>Departament</v>
      </c>
      <c r="BQ2" t="str">
        <f>'Caracterització v.3.0.1'!E50</f>
        <v/>
      </c>
      <c r="BR2" s="65"/>
      <c r="CC2" t="str">
        <f>'Caracterització v.3.0.1'!C50</f>
        <v>Departament</v>
      </c>
      <c r="CD2">
        <f>'Caracterització v.3.0.1'!C46</f>
        <v>0</v>
      </c>
      <c r="CF2" s="93"/>
      <c r="CG2" t="str">
        <f>'Caracterització v.3.0.1'!E50</f>
        <v/>
      </c>
      <c r="CP2">
        <f>'Caracterització v.3.0.1'!I56</f>
        <v>0</v>
      </c>
      <c r="CQ2">
        <f>'Caracterització v.3.0.1'!I58</f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atalegSolucions"/>
  <dimension ref="A1:H125"/>
  <sheetViews>
    <sheetView workbookViewId="0">
      <pane ySplit="1" topLeftCell="A2" activePane="bottomLeft" state="frozen"/>
      <selection pane="bottomLeft" activeCell="D12" sqref="D12:D21"/>
    </sheetView>
  </sheetViews>
  <sheetFormatPr baseColWidth="10" defaultColWidth="11.42578125" defaultRowHeight="15"/>
  <cols>
    <col min="1" max="1" width="4.5703125" bestFit="1" customWidth="1"/>
    <col min="2" max="2" width="28.85546875" bestFit="1" customWidth="1"/>
    <col min="3" max="3" width="4.85546875" bestFit="1" customWidth="1"/>
    <col min="4" max="4" width="30.5703125" bestFit="1" customWidth="1"/>
    <col min="5" max="5" width="5.5703125" bestFit="1" customWidth="1"/>
    <col min="6" max="6" width="64.140625" bestFit="1" customWidth="1"/>
    <col min="7" max="7" width="4.7109375" bestFit="1" customWidth="1"/>
    <col min="8" max="8" width="18.7109375" bestFit="1" customWidth="1"/>
  </cols>
  <sheetData>
    <row r="1" spans="1:8">
      <c r="A1" s="103" t="s">
        <v>278</v>
      </c>
      <c r="B1" s="104" t="s">
        <v>425</v>
      </c>
      <c r="C1" s="103" t="s">
        <v>278</v>
      </c>
      <c r="D1" s="104" t="s">
        <v>426</v>
      </c>
      <c r="E1" s="105" t="s">
        <v>278</v>
      </c>
      <c r="F1" s="104" t="s">
        <v>427</v>
      </c>
      <c r="G1" s="103" t="s">
        <v>278</v>
      </c>
      <c r="H1" s="106" t="s">
        <v>428</v>
      </c>
    </row>
    <row r="2" spans="1:8">
      <c r="A2" s="107" t="s">
        <v>107</v>
      </c>
      <c r="B2" s="247" t="s">
        <v>429</v>
      </c>
      <c r="C2" s="108" t="s">
        <v>430</v>
      </c>
      <c r="D2" s="109" t="s">
        <v>431</v>
      </c>
      <c r="E2" s="110" t="s">
        <v>432</v>
      </c>
      <c r="F2" s="111" t="s">
        <v>433</v>
      </c>
      <c r="G2" s="112" t="s">
        <v>434</v>
      </c>
      <c r="H2" t="str">
        <f>CONCATENATE(A2,".",C2,".",E2,".",G2)</f>
        <v>SI.SINE.GDOC.SAR</v>
      </c>
    </row>
    <row r="3" spans="1:8">
      <c r="A3" s="107" t="s">
        <v>107</v>
      </c>
      <c r="B3" s="248"/>
      <c r="C3" s="108" t="s">
        <v>430</v>
      </c>
      <c r="D3" s="250" t="s">
        <v>435</v>
      </c>
      <c r="E3" s="113" t="s">
        <v>436</v>
      </c>
      <c r="F3" s="114" t="s">
        <v>437</v>
      </c>
      <c r="G3" s="115" t="s">
        <v>438</v>
      </c>
      <c r="H3" t="str">
        <f t="shared" ref="H3:H68" si="0">CONCATENATE(A3,".",C3,".",E3,".",G3)</f>
        <v>SI.SINE.ADEL.SIT</v>
      </c>
    </row>
    <row r="4" spans="1:8">
      <c r="A4" s="107" t="s">
        <v>107</v>
      </c>
      <c r="B4" s="248"/>
      <c r="C4" s="108" t="s">
        <v>430</v>
      </c>
      <c r="D4" s="251"/>
      <c r="E4" s="110" t="s">
        <v>436</v>
      </c>
      <c r="F4" s="111" t="s">
        <v>439</v>
      </c>
      <c r="G4" s="112" t="s">
        <v>440</v>
      </c>
      <c r="H4" t="str">
        <f t="shared" si="0"/>
        <v>SI.SINE.ADEL.PCA</v>
      </c>
    </row>
    <row r="5" spans="1:8">
      <c r="A5" s="107" t="s">
        <v>107</v>
      </c>
      <c r="B5" s="248"/>
      <c r="C5" s="108" t="s">
        <v>430</v>
      </c>
      <c r="D5" s="116" t="s">
        <v>195</v>
      </c>
      <c r="E5" s="117" t="s">
        <v>441</v>
      </c>
      <c r="F5" s="118" t="s">
        <v>442</v>
      </c>
      <c r="G5" s="103" t="s">
        <v>443</v>
      </c>
      <c r="H5" t="str">
        <f t="shared" si="0"/>
        <v>SI.SINE.RRHH.RHH</v>
      </c>
    </row>
    <row r="6" spans="1:8">
      <c r="A6" s="107" t="s">
        <v>107</v>
      </c>
      <c r="B6" s="248"/>
      <c r="C6" s="108" t="s">
        <v>430</v>
      </c>
      <c r="D6" s="247" t="s">
        <v>444</v>
      </c>
      <c r="E6" s="113" t="s">
        <v>445</v>
      </c>
      <c r="F6" s="114" t="s">
        <v>446</v>
      </c>
      <c r="G6" s="115" t="s">
        <v>447</v>
      </c>
      <c r="H6" t="str">
        <f t="shared" si="0"/>
        <v>SI.SINE.CNTR.CTR</v>
      </c>
    </row>
    <row r="7" spans="1:8">
      <c r="A7" s="107" t="s">
        <v>107</v>
      </c>
      <c r="B7" s="248"/>
      <c r="C7" s="108" t="s">
        <v>430</v>
      </c>
      <c r="D7" s="249"/>
      <c r="E7" s="110" t="s">
        <v>445</v>
      </c>
      <c r="F7" s="111" t="s">
        <v>448</v>
      </c>
      <c r="G7" s="112" t="s">
        <v>449</v>
      </c>
      <c r="H7" t="str">
        <f t="shared" si="0"/>
        <v>SI.SINE.CNTR.REG</v>
      </c>
    </row>
    <row r="8" spans="1:8">
      <c r="A8" s="107" t="s">
        <v>107</v>
      </c>
      <c r="B8" s="248"/>
      <c r="C8" s="108" t="s">
        <v>430</v>
      </c>
      <c r="D8" s="119" t="s">
        <v>450</v>
      </c>
      <c r="E8" s="117" t="s">
        <v>451</v>
      </c>
      <c r="F8" s="118" t="s">
        <v>452</v>
      </c>
      <c r="G8" s="103" t="s">
        <v>453</v>
      </c>
      <c r="H8" t="str">
        <f t="shared" si="0"/>
        <v>SI.SINE.GEFI.EFI</v>
      </c>
    </row>
    <row r="9" spans="1:8">
      <c r="A9" s="107" t="s">
        <v>107</v>
      </c>
      <c r="B9" s="248"/>
      <c r="C9" s="108" t="s">
        <v>430</v>
      </c>
      <c r="D9" s="119" t="s">
        <v>454</v>
      </c>
      <c r="E9" s="117" t="s">
        <v>455</v>
      </c>
      <c r="F9" s="118" t="s">
        <v>456</v>
      </c>
      <c r="G9" s="103" t="s">
        <v>454</v>
      </c>
      <c r="H9" t="str">
        <f t="shared" si="0"/>
        <v>SI.SINE.SIGC.SIG</v>
      </c>
    </row>
    <row r="10" spans="1:8" s="145" customFormat="1">
      <c r="A10" s="107" t="s">
        <v>107</v>
      </c>
      <c r="B10" s="248"/>
      <c r="C10" s="108" t="s">
        <v>430</v>
      </c>
      <c r="D10" s="120" t="s">
        <v>794</v>
      </c>
      <c r="E10" s="113" t="s">
        <v>795</v>
      </c>
      <c r="F10" s="114" t="s">
        <v>796</v>
      </c>
      <c r="G10" s="115" t="s">
        <v>797</v>
      </c>
      <c r="H10" s="145" t="str">
        <f t="shared" si="0"/>
        <v>SI.SINE.TRIB.HIC</v>
      </c>
    </row>
    <row r="11" spans="1:8">
      <c r="A11" s="107" t="s">
        <v>107</v>
      </c>
      <c r="B11" s="248"/>
      <c r="C11" s="108" t="s">
        <v>430</v>
      </c>
      <c r="D11" s="120" t="s">
        <v>457</v>
      </c>
      <c r="E11" s="113" t="s">
        <v>458</v>
      </c>
      <c r="F11" s="114" t="s">
        <v>459</v>
      </c>
      <c r="G11" s="115" t="s">
        <v>460</v>
      </c>
      <c r="H11" t="str">
        <f t="shared" si="0"/>
        <v>SI.SINE.MOBI.PNP</v>
      </c>
    </row>
    <row r="12" spans="1:8">
      <c r="A12" s="107" t="s">
        <v>107</v>
      </c>
      <c r="B12" s="248"/>
      <c r="C12" s="108" t="s">
        <v>430</v>
      </c>
      <c r="D12" s="247" t="s">
        <v>461</v>
      </c>
      <c r="E12" s="113" t="s">
        <v>462</v>
      </c>
      <c r="F12" s="114" t="s">
        <v>463</v>
      </c>
      <c r="G12" s="115" t="s">
        <v>464</v>
      </c>
      <c r="H12" t="str">
        <f t="shared" si="0"/>
        <v>SI.SINE.DIMU.OVT</v>
      </c>
    </row>
    <row r="13" spans="1:8">
      <c r="A13" s="107" t="s">
        <v>107</v>
      </c>
      <c r="B13" s="248"/>
      <c r="C13" s="108" t="s">
        <v>430</v>
      </c>
      <c r="D13" s="248"/>
      <c r="E13" s="121" t="s">
        <v>462</v>
      </c>
      <c r="F13" s="122" t="s">
        <v>465</v>
      </c>
      <c r="G13" s="123" t="s">
        <v>466</v>
      </c>
      <c r="H13" t="str">
        <f t="shared" si="0"/>
        <v>SI.SINE.DIMU.SAC</v>
      </c>
    </row>
    <row r="14" spans="1:8">
      <c r="A14" s="107" t="s">
        <v>107</v>
      </c>
      <c r="B14" s="248"/>
      <c r="C14" s="108" t="s">
        <v>430</v>
      </c>
      <c r="D14" s="248"/>
      <c r="E14" s="121" t="s">
        <v>462</v>
      </c>
      <c r="F14" s="122" t="s">
        <v>467</v>
      </c>
      <c r="G14" s="123" t="s">
        <v>468</v>
      </c>
      <c r="H14" t="str">
        <f t="shared" si="0"/>
        <v>SI.SINE.DIMU.EQP</v>
      </c>
    </row>
    <row r="15" spans="1:8">
      <c r="A15" s="107" t="s">
        <v>107</v>
      </c>
      <c r="B15" s="248"/>
      <c r="C15" s="108" t="s">
        <v>430</v>
      </c>
      <c r="D15" s="248"/>
      <c r="E15" s="121" t="s">
        <v>462</v>
      </c>
      <c r="F15" s="122" t="s">
        <v>469</v>
      </c>
      <c r="G15" s="123" t="s">
        <v>470</v>
      </c>
      <c r="H15" t="str">
        <f t="shared" si="0"/>
        <v>SI.SINE.DIMU.BUT</v>
      </c>
    </row>
    <row r="16" spans="1:8">
      <c r="A16" s="107" t="s">
        <v>107</v>
      </c>
      <c r="B16" s="248"/>
      <c r="C16" s="108" t="s">
        <v>430</v>
      </c>
      <c r="D16" s="248"/>
      <c r="E16" s="121" t="s">
        <v>462</v>
      </c>
      <c r="F16" s="122" t="s">
        <v>471</v>
      </c>
      <c r="G16" s="123" t="s">
        <v>471</v>
      </c>
      <c r="H16" t="str">
        <f t="shared" si="0"/>
        <v>SI.SINE.DIMU.BIG</v>
      </c>
    </row>
    <row r="17" spans="1:8">
      <c r="A17" s="107" t="s">
        <v>107</v>
      </c>
      <c r="B17" s="248"/>
      <c r="C17" s="108" t="s">
        <v>430</v>
      </c>
      <c r="D17" s="248"/>
      <c r="E17" s="121" t="s">
        <v>462</v>
      </c>
      <c r="F17" s="122" t="s">
        <v>472</v>
      </c>
      <c r="G17" s="123" t="s">
        <v>473</v>
      </c>
      <c r="H17" t="str">
        <f t="shared" si="0"/>
        <v>SI.SINE.DIMU.BLC</v>
      </c>
    </row>
    <row r="18" spans="1:8">
      <c r="A18" s="107" t="s">
        <v>107</v>
      </c>
      <c r="B18" s="248"/>
      <c r="C18" s="108" t="s">
        <v>430</v>
      </c>
      <c r="D18" s="248"/>
      <c r="E18" s="121" t="s">
        <v>462</v>
      </c>
      <c r="F18" s="122" t="s">
        <v>474</v>
      </c>
      <c r="G18" s="123" t="s">
        <v>475</v>
      </c>
      <c r="H18" t="str">
        <f t="shared" si="0"/>
        <v>SI.SINE.DIMU.ECT</v>
      </c>
    </row>
    <row r="19" spans="1:8">
      <c r="A19" s="107" t="s">
        <v>107</v>
      </c>
      <c r="B19" s="248"/>
      <c r="C19" s="108" t="s">
        <v>430</v>
      </c>
      <c r="D19" s="248"/>
      <c r="E19" s="121" t="s">
        <v>462</v>
      </c>
      <c r="F19" s="122" t="s">
        <v>476</v>
      </c>
      <c r="G19" s="123" t="s">
        <v>477</v>
      </c>
      <c r="H19" t="str">
        <f t="shared" si="0"/>
        <v>SI.SINE.DIMU.WEB</v>
      </c>
    </row>
    <row r="20" spans="1:8">
      <c r="A20" s="107" t="s">
        <v>107</v>
      </c>
      <c r="B20" s="248"/>
      <c r="C20" s="108" t="s">
        <v>430</v>
      </c>
      <c r="D20" s="248"/>
      <c r="E20" s="121" t="s">
        <v>462</v>
      </c>
      <c r="F20" s="122" t="s">
        <v>478</v>
      </c>
      <c r="G20" s="123" t="s">
        <v>479</v>
      </c>
      <c r="H20" t="str">
        <f t="shared" si="0"/>
        <v>SI.SINE.DIMU.DOB</v>
      </c>
    </row>
    <row r="21" spans="1:8">
      <c r="A21" s="124" t="s">
        <v>107</v>
      </c>
      <c r="B21" s="249"/>
      <c r="C21" s="108" t="s">
        <v>430</v>
      </c>
      <c r="D21" s="249"/>
      <c r="E21" s="110" t="s">
        <v>462</v>
      </c>
      <c r="F21" s="111" t="s">
        <v>480</v>
      </c>
      <c r="G21" s="112" t="s">
        <v>481</v>
      </c>
      <c r="H21" t="str">
        <f t="shared" si="0"/>
        <v>SI.SINE.DIMU.SUP</v>
      </c>
    </row>
    <row r="22" spans="1:8">
      <c r="A22" s="107" t="s">
        <v>107</v>
      </c>
      <c r="B22" s="250" t="s">
        <v>482</v>
      </c>
      <c r="C22" s="125" t="s">
        <v>483</v>
      </c>
      <c r="D22" s="252" t="s">
        <v>484</v>
      </c>
      <c r="E22" s="113" t="s">
        <v>485</v>
      </c>
      <c r="F22" s="114" t="s">
        <v>486</v>
      </c>
      <c r="G22" s="126" t="s">
        <v>487</v>
      </c>
      <c r="H22" t="str">
        <f t="shared" si="0"/>
        <v>SI.AGST.DCLT.SGR</v>
      </c>
    </row>
    <row r="23" spans="1:8">
      <c r="A23" s="107" t="s">
        <v>107</v>
      </c>
      <c r="B23" s="252"/>
      <c r="C23" s="108" t="s">
        <v>483</v>
      </c>
      <c r="D23" s="252"/>
      <c r="E23" s="121" t="s">
        <v>485</v>
      </c>
      <c r="F23" s="122" t="s">
        <v>488</v>
      </c>
      <c r="G23" s="127" t="s">
        <v>489</v>
      </c>
      <c r="H23" t="str">
        <f t="shared" si="0"/>
        <v>SI.AGST.DCLT.DSR</v>
      </c>
    </row>
    <row r="24" spans="1:8">
      <c r="A24" s="107" t="s">
        <v>107</v>
      </c>
      <c r="B24" s="252"/>
      <c r="C24" s="108" t="s">
        <v>483</v>
      </c>
      <c r="D24" s="252"/>
      <c r="E24" s="121" t="s">
        <v>485</v>
      </c>
      <c r="F24" s="122" t="s">
        <v>490</v>
      </c>
      <c r="G24" s="127" t="s">
        <v>491</v>
      </c>
      <c r="H24" t="str">
        <f t="shared" si="0"/>
        <v>SI.AGST.DCLT.GTC</v>
      </c>
    </row>
    <row r="25" spans="1:8">
      <c r="A25" s="107" t="s">
        <v>107</v>
      </c>
      <c r="B25" s="252"/>
      <c r="C25" s="108" t="s">
        <v>483</v>
      </c>
      <c r="D25" s="252"/>
      <c r="E25" s="121" t="s">
        <v>485</v>
      </c>
      <c r="F25" s="122" t="s">
        <v>492</v>
      </c>
      <c r="G25" s="127" t="s">
        <v>493</v>
      </c>
      <c r="H25" t="str">
        <f t="shared" si="0"/>
        <v>SI.AGST.DCLT.PRT</v>
      </c>
    </row>
    <row r="26" spans="1:8">
      <c r="A26" s="107" t="s">
        <v>107</v>
      </c>
      <c r="B26" s="252"/>
      <c r="C26" s="108" t="s">
        <v>483</v>
      </c>
      <c r="D26" s="252"/>
      <c r="E26" s="121" t="s">
        <v>485</v>
      </c>
      <c r="F26" s="122" t="s">
        <v>494</v>
      </c>
      <c r="G26" s="127" t="s">
        <v>495</v>
      </c>
      <c r="H26" t="str">
        <f t="shared" si="0"/>
        <v>SI.AGST.DCLT.SBV</v>
      </c>
    </row>
    <row r="27" spans="1:8">
      <c r="A27" s="107" t="s">
        <v>107</v>
      </c>
      <c r="B27" s="252"/>
      <c r="C27" s="108" t="s">
        <v>483</v>
      </c>
      <c r="D27" s="252"/>
      <c r="E27" s="121" t="s">
        <v>485</v>
      </c>
      <c r="F27" s="122" t="s">
        <v>496</v>
      </c>
      <c r="G27" s="127" t="s">
        <v>497</v>
      </c>
      <c r="H27" t="str">
        <f t="shared" si="0"/>
        <v>SI.AGST.DCLT.LNG</v>
      </c>
    </row>
    <row r="28" spans="1:8">
      <c r="A28" s="107" t="s">
        <v>107</v>
      </c>
      <c r="B28" s="252"/>
      <c r="C28" s="108" t="s">
        <v>483</v>
      </c>
      <c r="D28" s="252"/>
      <c r="E28" s="121" t="s">
        <v>485</v>
      </c>
      <c r="F28" s="122" t="s">
        <v>498</v>
      </c>
      <c r="G28" s="127" t="s">
        <v>499</v>
      </c>
      <c r="H28" t="str">
        <f t="shared" si="0"/>
        <v>SI.AGST.DCLT.PRO</v>
      </c>
    </row>
    <row r="29" spans="1:8">
      <c r="A29" s="107" t="s">
        <v>107</v>
      </c>
      <c r="B29" s="252"/>
      <c r="C29" s="108" t="s">
        <v>483</v>
      </c>
      <c r="D29" s="252"/>
      <c r="E29" s="121" t="s">
        <v>485</v>
      </c>
      <c r="F29" s="122" t="s">
        <v>500</v>
      </c>
      <c r="G29" s="127" t="s">
        <v>501</v>
      </c>
      <c r="H29" t="str">
        <f t="shared" si="0"/>
        <v>SI.AGST.DCLT.POP</v>
      </c>
    </row>
    <row r="30" spans="1:8">
      <c r="A30" s="107" t="s">
        <v>107</v>
      </c>
      <c r="B30" s="252"/>
      <c r="C30" s="108" t="s">
        <v>483</v>
      </c>
      <c r="D30" s="252"/>
      <c r="E30" s="121" t="s">
        <v>485</v>
      </c>
      <c r="F30" s="122" t="s">
        <v>502</v>
      </c>
      <c r="G30" s="127" t="s">
        <v>503</v>
      </c>
      <c r="H30" t="str">
        <f t="shared" si="0"/>
        <v>SI.AGST.DCLT.BBL</v>
      </c>
    </row>
    <row r="31" spans="1:8">
      <c r="A31" s="107" t="s">
        <v>107</v>
      </c>
      <c r="B31" s="252"/>
      <c r="C31" s="108" t="s">
        <v>483</v>
      </c>
      <c r="D31" s="252"/>
      <c r="E31" s="121" t="s">
        <v>485</v>
      </c>
      <c r="F31" s="122" t="s">
        <v>504</v>
      </c>
      <c r="G31" s="127" t="s">
        <v>505</v>
      </c>
      <c r="H31" t="str">
        <f t="shared" si="0"/>
        <v>SI.AGST.DCLT.PTR</v>
      </c>
    </row>
    <row r="32" spans="1:8">
      <c r="A32" s="107" t="s">
        <v>107</v>
      </c>
      <c r="B32" s="252"/>
      <c r="C32" s="108" t="s">
        <v>483</v>
      </c>
      <c r="D32" s="252"/>
      <c r="E32" s="121" t="s">
        <v>485</v>
      </c>
      <c r="F32" s="122" t="s">
        <v>506</v>
      </c>
      <c r="G32" s="127" t="s">
        <v>507</v>
      </c>
      <c r="H32" t="str">
        <f t="shared" si="0"/>
        <v>SI.AGST.DCLT.ARX</v>
      </c>
    </row>
    <row r="33" spans="1:8">
      <c r="A33" s="107" t="s">
        <v>107</v>
      </c>
      <c r="B33" s="252"/>
      <c r="C33" s="108" t="s">
        <v>483</v>
      </c>
      <c r="D33" s="252"/>
      <c r="E33" s="121" t="s">
        <v>485</v>
      </c>
      <c r="F33" s="122" t="s">
        <v>508</v>
      </c>
      <c r="G33" s="127" t="s">
        <v>509</v>
      </c>
      <c r="H33" t="str">
        <f t="shared" si="0"/>
        <v>SI.AGST.DCLT.ICC</v>
      </c>
    </row>
    <row r="34" spans="1:8">
      <c r="A34" s="107" t="s">
        <v>107</v>
      </c>
      <c r="B34" s="252"/>
      <c r="C34" s="108" t="s">
        <v>483</v>
      </c>
      <c r="D34" s="252"/>
      <c r="E34" s="121" t="s">
        <v>485</v>
      </c>
      <c r="F34" s="122" t="s">
        <v>510</v>
      </c>
      <c r="G34" s="128" t="s">
        <v>511</v>
      </c>
      <c r="H34" t="str">
        <f t="shared" si="0"/>
        <v>SI.AGST.DCLT.ILC</v>
      </c>
    </row>
    <row r="35" spans="1:8">
      <c r="A35" s="107" t="s">
        <v>107</v>
      </c>
      <c r="B35" s="252"/>
      <c r="C35" s="108" t="s">
        <v>483</v>
      </c>
      <c r="D35" s="253" t="s">
        <v>512</v>
      </c>
      <c r="E35" s="113" t="s">
        <v>513</v>
      </c>
      <c r="F35" s="114" t="s">
        <v>514</v>
      </c>
      <c r="G35" s="126" t="s">
        <v>515</v>
      </c>
      <c r="H35" t="str">
        <f t="shared" si="0"/>
        <v>SI.AGST.DEMO.SGE</v>
      </c>
    </row>
    <row r="36" spans="1:8">
      <c r="A36" s="107" t="s">
        <v>107</v>
      </c>
      <c r="B36" s="252"/>
      <c r="C36" s="108" t="s">
        <v>483</v>
      </c>
      <c r="D36" s="254"/>
      <c r="E36" s="121" t="s">
        <v>513</v>
      </c>
      <c r="F36" s="122" t="s">
        <v>516</v>
      </c>
      <c r="G36" s="127" t="s">
        <v>517</v>
      </c>
      <c r="H36" t="str">
        <f t="shared" si="0"/>
        <v>SI.AGST.DEMO.SGO</v>
      </c>
    </row>
    <row r="37" spans="1:8">
      <c r="A37" s="107" t="s">
        <v>107</v>
      </c>
      <c r="B37" s="252"/>
      <c r="C37" s="108" t="s">
        <v>483</v>
      </c>
      <c r="D37" s="254"/>
      <c r="E37" s="121" t="s">
        <v>513</v>
      </c>
      <c r="F37" s="122" t="s">
        <v>518</v>
      </c>
      <c r="G37" s="127" t="s">
        <v>519</v>
      </c>
      <c r="H37" t="str">
        <f t="shared" si="0"/>
        <v>SI.AGST.DEMO.GOV</v>
      </c>
    </row>
    <row r="38" spans="1:8">
      <c r="A38" s="107" t="s">
        <v>107</v>
      </c>
      <c r="B38" s="252"/>
      <c r="C38" s="108" t="s">
        <v>483</v>
      </c>
      <c r="D38" s="254"/>
      <c r="E38" s="121" t="s">
        <v>513</v>
      </c>
      <c r="F38" s="122" t="s">
        <v>520</v>
      </c>
      <c r="G38" s="127" t="s">
        <v>521</v>
      </c>
      <c r="H38" t="str">
        <f t="shared" si="0"/>
        <v>SI.AGST.DEMO.GES</v>
      </c>
    </row>
    <row r="39" spans="1:8">
      <c r="A39" s="107" t="s">
        <v>107</v>
      </c>
      <c r="B39" s="252"/>
      <c r="C39" s="108" t="s">
        <v>483</v>
      </c>
      <c r="D39" s="254"/>
      <c r="E39" s="121" t="s">
        <v>513</v>
      </c>
      <c r="F39" s="122" t="s">
        <v>522</v>
      </c>
      <c r="G39" s="127" t="s">
        <v>523</v>
      </c>
      <c r="H39" t="str">
        <f t="shared" si="0"/>
        <v>SI.AGST.DEMO.FWK</v>
      </c>
    </row>
    <row r="40" spans="1:8">
      <c r="A40" s="107" t="s">
        <v>107</v>
      </c>
      <c r="B40" s="252"/>
      <c r="C40" s="108" t="s">
        <v>483</v>
      </c>
      <c r="D40" s="254"/>
      <c r="E40" s="121" t="s">
        <v>513</v>
      </c>
      <c r="F40" s="122" t="s">
        <v>524</v>
      </c>
      <c r="G40" s="127" t="s">
        <v>525</v>
      </c>
      <c r="H40" t="str">
        <f t="shared" si="0"/>
        <v>SI.AGST.DEMO.SEG</v>
      </c>
    </row>
    <row r="41" spans="1:8">
      <c r="A41" s="107" t="s">
        <v>107</v>
      </c>
      <c r="B41" s="252"/>
      <c r="C41" s="108" t="s">
        <v>483</v>
      </c>
      <c r="D41" s="254"/>
      <c r="E41" s="121" t="s">
        <v>513</v>
      </c>
      <c r="F41" s="122" t="s">
        <v>526</v>
      </c>
      <c r="G41" s="127" t="s">
        <v>527</v>
      </c>
      <c r="H41" t="str">
        <f t="shared" si="0"/>
        <v>SI.AGST.DEMO.SGC</v>
      </c>
    </row>
    <row r="42" spans="1:8">
      <c r="A42" s="107" t="s">
        <v>107</v>
      </c>
      <c r="B42" s="252"/>
      <c r="C42" s="108" t="s">
        <v>483</v>
      </c>
      <c r="D42" s="254"/>
      <c r="E42" s="121" t="s">
        <v>513</v>
      </c>
      <c r="F42" s="122" t="s">
        <v>528</v>
      </c>
      <c r="G42" s="127" t="s">
        <v>529</v>
      </c>
      <c r="H42" t="str">
        <f t="shared" si="0"/>
        <v>SI.AGST.DEMO.SPA</v>
      </c>
    </row>
    <row r="43" spans="1:8">
      <c r="A43" s="107" t="s">
        <v>107</v>
      </c>
      <c r="B43" s="252"/>
      <c r="C43" s="108" t="s">
        <v>483</v>
      </c>
      <c r="D43" s="254"/>
      <c r="E43" s="121" t="s">
        <v>513</v>
      </c>
      <c r="F43" s="122" t="s">
        <v>530</v>
      </c>
      <c r="G43" s="127" t="s">
        <v>531</v>
      </c>
      <c r="H43" t="str">
        <f t="shared" si="0"/>
        <v>SI.AGST.DEMO.SUB</v>
      </c>
    </row>
    <row r="44" spans="1:8">
      <c r="A44" s="107" t="s">
        <v>107</v>
      </c>
      <c r="B44" s="252"/>
      <c r="C44" s="108" t="s">
        <v>483</v>
      </c>
      <c r="D44" s="254"/>
      <c r="E44" s="121" t="s">
        <v>513</v>
      </c>
      <c r="F44" s="122" t="s">
        <v>532</v>
      </c>
      <c r="G44" s="127" t="s">
        <v>533</v>
      </c>
      <c r="H44" t="str">
        <f t="shared" si="0"/>
        <v>SI.AGST.DEMO.SOC</v>
      </c>
    </row>
    <row r="45" spans="1:8">
      <c r="A45" s="107" t="s">
        <v>107</v>
      </c>
      <c r="B45" s="252"/>
      <c r="C45" s="108" t="s">
        <v>483</v>
      </c>
      <c r="D45" s="254"/>
      <c r="E45" s="121" t="s">
        <v>513</v>
      </c>
      <c r="F45" s="122" t="s">
        <v>534</v>
      </c>
      <c r="G45" s="127" t="s">
        <v>535</v>
      </c>
      <c r="H45" t="str">
        <f t="shared" si="0"/>
        <v>SI.AGST.DEMO.ACC</v>
      </c>
    </row>
    <row r="46" spans="1:8">
      <c r="A46" s="107" t="s">
        <v>107</v>
      </c>
      <c r="B46" s="252"/>
      <c r="C46" s="108" t="s">
        <v>483</v>
      </c>
      <c r="D46" s="254"/>
      <c r="E46" s="121" t="s">
        <v>513</v>
      </c>
      <c r="F46" s="122" t="s">
        <v>536</v>
      </c>
      <c r="G46" s="127" t="s">
        <v>537</v>
      </c>
      <c r="H46" t="str">
        <f t="shared" si="0"/>
        <v>SI.AGST.DEMO.ICA</v>
      </c>
    </row>
    <row r="47" spans="1:8">
      <c r="A47" s="107" t="s">
        <v>107</v>
      </c>
      <c r="B47" s="252"/>
      <c r="C47" s="108" t="s">
        <v>483</v>
      </c>
      <c r="D47" s="254"/>
      <c r="E47" s="121" t="s">
        <v>513</v>
      </c>
      <c r="F47" s="122" t="s">
        <v>538</v>
      </c>
      <c r="G47" s="127" t="s">
        <v>539</v>
      </c>
      <c r="H47" t="str">
        <f t="shared" si="0"/>
        <v>SI.AGST.DEMO.ACT</v>
      </c>
    </row>
    <row r="48" spans="1:8" s="145" customFormat="1">
      <c r="A48" s="107" t="s">
        <v>107</v>
      </c>
      <c r="B48" s="252"/>
      <c r="C48" s="108" t="s">
        <v>483</v>
      </c>
      <c r="D48" s="167"/>
      <c r="E48" s="110" t="s">
        <v>513</v>
      </c>
      <c r="F48" s="111" t="s">
        <v>780</v>
      </c>
      <c r="G48" s="128" t="s">
        <v>781</v>
      </c>
      <c r="H48" s="145" t="str">
        <f t="shared" si="0"/>
        <v>SI.AGST.DEMO.ACI</v>
      </c>
    </row>
    <row r="49" spans="1:8">
      <c r="A49" s="107" t="s">
        <v>107</v>
      </c>
      <c r="B49" s="252"/>
      <c r="C49" s="108" t="s">
        <v>483</v>
      </c>
      <c r="D49" s="252" t="s">
        <v>540</v>
      </c>
      <c r="E49" s="121" t="s">
        <v>541</v>
      </c>
      <c r="F49" s="122" t="s">
        <v>542</v>
      </c>
      <c r="G49" s="127" t="s">
        <v>543</v>
      </c>
      <c r="H49" t="str">
        <f t="shared" si="0"/>
        <v>SI.AGST.DJUS.ADM</v>
      </c>
    </row>
    <row r="50" spans="1:8">
      <c r="A50" s="107" t="s">
        <v>107</v>
      </c>
      <c r="B50" s="252"/>
      <c r="C50" s="108" t="s">
        <v>483</v>
      </c>
      <c r="D50" s="252"/>
      <c r="E50" s="121" t="s">
        <v>541</v>
      </c>
      <c r="F50" s="122" t="s">
        <v>544</v>
      </c>
      <c r="G50" s="127" t="s">
        <v>545</v>
      </c>
      <c r="H50" t="str">
        <f t="shared" si="0"/>
        <v>SI.AGST.DJUS.PEN</v>
      </c>
    </row>
    <row r="51" spans="1:8">
      <c r="A51" s="107" t="s">
        <v>107</v>
      </c>
      <c r="B51" s="252"/>
      <c r="C51" s="108" t="s">
        <v>483</v>
      </c>
      <c r="D51" s="252"/>
      <c r="E51" s="121" t="s">
        <v>541</v>
      </c>
      <c r="F51" s="122" t="s">
        <v>546</v>
      </c>
      <c r="G51" s="127" t="s">
        <v>547</v>
      </c>
      <c r="H51" t="str">
        <f t="shared" si="0"/>
        <v>SI.AGST.DJUS.EJU</v>
      </c>
    </row>
    <row r="52" spans="1:8">
      <c r="A52" s="107" t="s">
        <v>107</v>
      </c>
      <c r="B52" s="252"/>
      <c r="C52" s="108" t="s">
        <v>483</v>
      </c>
      <c r="D52" s="252"/>
      <c r="E52" s="121" t="s">
        <v>541</v>
      </c>
      <c r="F52" s="122" t="s">
        <v>548</v>
      </c>
      <c r="G52" s="127" t="s">
        <v>549</v>
      </c>
      <c r="H52" t="str">
        <f t="shared" si="0"/>
        <v>SI.AGST.DJUS.LEG</v>
      </c>
    </row>
    <row r="53" spans="1:8">
      <c r="A53" s="107" t="s">
        <v>107</v>
      </c>
      <c r="B53" s="252"/>
      <c r="C53" s="108" t="s">
        <v>483</v>
      </c>
      <c r="D53" s="252"/>
      <c r="E53" s="121" t="s">
        <v>541</v>
      </c>
      <c r="F53" s="122" t="s">
        <v>550</v>
      </c>
      <c r="G53" s="127" t="s">
        <v>551</v>
      </c>
      <c r="H53" t="str">
        <f t="shared" si="0"/>
        <v>SI.AGST.DJUS.SCC</v>
      </c>
    </row>
    <row r="54" spans="1:8">
      <c r="A54" s="107" t="s">
        <v>107</v>
      </c>
      <c r="B54" s="252"/>
      <c r="C54" s="108" t="s">
        <v>483</v>
      </c>
      <c r="D54" s="252"/>
      <c r="E54" s="121" t="s">
        <v>541</v>
      </c>
      <c r="F54" s="122" t="s">
        <v>552</v>
      </c>
      <c r="G54" s="127" t="s">
        <v>553</v>
      </c>
      <c r="H54" t="str">
        <f t="shared" si="0"/>
        <v>SI.AGST.DJUS.RHJ</v>
      </c>
    </row>
    <row r="55" spans="1:8">
      <c r="A55" s="107" t="s">
        <v>107</v>
      </c>
      <c r="B55" s="252"/>
      <c r="C55" s="108" t="s">
        <v>483</v>
      </c>
      <c r="D55" s="251"/>
      <c r="E55" s="110" t="s">
        <v>541</v>
      </c>
      <c r="F55" s="111" t="s">
        <v>554</v>
      </c>
      <c r="G55" s="128" t="s">
        <v>555</v>
      </c>
      <c r="H55" t="str">
        <f t="shared" si="0"/>
        <v>SI.AGST.DJUS.CON</v>
      </c>
    </row>
    <row r="56" spans="1:8">
      <c r="A56" s="107" t="s">
        <v>107</v>
      </c>
      <c r="B56" s="252"/>
      <c r="C56" s="108" t="s">
        <v>483</v>
      </c>
      <c r="D56" s="250" t="s">
        <v>556</v>
      </c>
      <c r="E56" s="113" t="s">
        <v>557</v>
      </c>
      <c r="F56" s="114" t="s">
        <v>558</v>
      </c>
      <c r="G56" s="126" t="s">
        <v>559</v>
      </c>
      <c r="H56" t="str">
        <f t="shared" si="0"/>
        <v>SI.AGST.DTES.CAR</v>
      </c>
    </row>
    <row r="57" spans="1:8">
      <c r="A57" s="107" t="s">
        <v>107</v>
      </c>
      <c r="B57" s="252"/>
      <c r="C57" s="108" t="s">
        <v>483</v>
      </c>
      <c r="D57" s="252"/>
      <c r="E57" s="121" t="s">
        <v>557</v>
      </c>
      <c r="F57" s="122" t="s">
        <v>560</v>
      </c>
      <c r="G57" s="127" t="s">
        <v>561</v>
      </c>
      <c r="H57" t="str">
        <f t="shared" si="0"/>
        <v>SI.AGST.DTES.URB</v>
      </c>
    </row>
    <row r="58" spans="1:8">
      <c r="A58" s="107" t="s">
        <v>107</v>
      </c>
      <c r="B58" s="252"/>
      <c r="C58" s="108" t="s">
        <v>483</v>
      </c>
      <c r="D58" s="252"/>
      <c r="E58" s="121" t="s">
        <v>557</v>
      </c>
      <c r="F58" s="122" t="s">
        <v>562</v>
      </c>
      <c r="G58" s="127" t="s">
        <v>563</v>
      </c>
      <c r="H58" t="str">
        <f t="shared" si="0"/>
        <v>SI.AGST.DTES.TRN</v>
      </c>
    </row>
    <row r="59" spans="1:8">
      <c r="A59" s="107" t="s">
        <v>107</v>
      </c>
      <c r="B59" s="252"/>
      <c r="C59" s="108" t="s">
        <v>483</v>
      </c>
      <c r="D59" s="252"/>
      <c r="E59" s="121" t="s">
        <v>557</v>
      </c>
      <c r="F59" s="122" t="s">
        <v>564</v>
      </c>
      <c r="G59" s="127" t="s">
        <v>565</v>
      </c>
      <c r="H59" t="str">
        <f t="shared" si="0"/>
        <v>SI.AGST.DTES.AMB</v>
      </c>
    </row>
    <row r="60" spans="1:8">
      <c r="A60" s="107" t="s">
        <v>107</v>
      </c>
      <c r="B60" s="252"/>
      <c r="C60" s="108" t="s">
        <v>483</v>
      </c>
      <c r="D60" s="252"/>
      <c r="E60" s="121" t="s">
        <v>557</v>
      </c>
      <c r="F60" s="122" t="s">
        <v>566</v>
      </c>
      <c r="G60" s="127" t="s">
        <v>567</v>
      </c>
      <c r="H60" t="str">
        <f t="shared" si="0"/>
        <v>SI.AGST.DTES.GRL</v>
      </c>
    </row>
    <row r="61" spans="1:8">
      <c r="A61" s="107" t="s">
        <v>107</v>
      </c>
      <c r="B61" s="252"/>
      <c r="C61" s="108" t="s">
        <v>483</v>
      </c>
      <c r="D61" s="250" t="s">
        <v>568</v>
      </c>
      <c r="E61" s="113" t="s">
        <v>569</v>
      </c>
      <c r="F61" s="114" t="s">
        <v>570</v>
      </c>
      <c r="G61" s="126" t="s">
        <v>571</v>
      </c>
      <c r="H61" t="str">
        <f t="shared" si="0"/>
        <v>SI.AGST.DPRE.CCE</v>
      </c>
    </row>
    <row r="62" spans="1:8">
      <c r="A62" s="107" t="s">
        <v>107</v>
      </c>
      <c r="B62" s="252"/>
      <c r="C62" s="108" t="s">
        <v>483</v>
      </c>
      <c r="D62" s="252"/>
      <c r="E62" s="121" t="s">
        <v>569</v>
      </c>
      <c r="F62" s="122" t="s">
        <v>572</v>
      </c>
      <c r="G62" s="127" t="s">
        <v>535</v>
      </c>
      <c r="H62" t="str">
        <f t="shared" si="0"/>
        <v>SI.AGST.DPRE.ACC</v>
      </c>
    </row>
    <row r="63" spans="1:8">
      <c r="A63" s="107" t="s">
        <v>107</v>
      </c>
      <c r="B63" s="252"/>
      <c r="C63" s="108" t="s">
        <v>483</v>
      </c>
      <c r="D63" s="252"/>
      <c r="E63" s="121" t="s">
        <v>569</v>
      </c>
      <c r="F63" s="122" t="s">
        <v>573</v>
      </c>
      <c r="G63" s="127" t="s">
        <v>487</v>
      </c>
      <c r="H63" t="str">
        <f t="shared" si="0"/>
        <v>SI.AGST.DPRE.SGR</v>
      </c>
    </row>
    <row r="64" spans="1:8">
      <c r="A64" s="107" t="s">
        <v>107</v>
      </c>
      <c r="B64" s="252"/>
      <c r="C64" s="108" t="s">
        <v>483</v>
      </c>
      <c r="D64" s="252"/>
      <c r="E64" s="121" t="s">
        <v>569</v>
      </c>
      <c r="F64" s="122" t="s">
        <v>574</v>
      </c>
      <c r="G64" s="127" t="s">
        <v>575</v>
      </c>
      <c r="H64" t="str">
        <f t="shared" si="0"/>
        <v>SI.AGST.DPRE.OFP</v>
      </c>
    </row>
    <row r="65" spans="1:8">
      <c r="A65" s="107" t="s">
        <v>107</v>
      </c>
      <c r="B65" s="252"/>
      <c r="C65" s="108" t="s">
        <v>483</v>
      </c>
      <c r="D65" s="252"/>
      <c r="E65" s="121" t="s">
        <v>569</v>
      </c>
      <c r="F65" s="122" t="s">
        <v>576</v>
      </c>
      <c r="G65" s="127" t="s">
        <v>577</v>
      </c>
      <c r="H65" t="str">
        <f t="shared" si="0"/>
        <v>SI.AGST.DPRE.MAD</v>
      </c>
    </row>
    <row r="66" spans="1:8">
      <c r="A66" s="107" t="s">
        <v>107</v>
      </c>
      <c r="B66" s="252"/>
      <c r="C66" s="108" t="s">
        <v>483</v>
      </c>
      <c r="D66" s="252"/>
      <c r="E66" s="121" t="s">
        <v>569</v>
      </c>
      <c r="F66" s="122" t="s">
        <v>578</v>
      </c>
      <c r="G66" s="127" t="s">
        <v>579</v>
      </c>
      <c r="H66" t="str">
        <f t="shared" si="0"/>
        <v>SI.AGST.DPRE.EXT</v>
      </c>
    </row>
    <row r="67" spans="1:8">
      <c r="A67" s="107" t="s">
        <v>107</v>
      </c>
      <c r="B67" s="252"/>
      <c r="C67" s="108" t="s">
        <v>483</v>
      </c>
      <c r="D67" s="252"/>
      <c r="E67" s="121" t="s">
        <v>569</v>
      </c>
      <c r="F67" s="122" t="s">
        <v>580</v>
      </c>
      <c r="G67" s="127" t="s">
        <v>581</v>
      </c>
      <c r="H67" t="str">
        <f t="shared" si="0"/>
        <v>SI.AGST.DPRE.PMM</v>
      </c>
    </row>
    <row r="68" spans="1:8">
      <c r="A68" s="107" t="s">
        <v>107</v>
      </c>
      <c r="B68" s="252"/>
      <c r="C68" s="108" t="s">
        <v>483</v>
      </c>
      <c r="D68" s="252"/>
      <c r="E68" s="121" t="s">
        <v>569</v>
      </c>
      <c r="F68" s="122" t="s">
        <v>582</v>
      </c>
      <c r="G68" s="127" t="s">
        <v>583</v>
      </c>
      <c r="H68" t="str">
        <f t="shared" si="0"/>
        <v>SI.AGST.DPRE.CJA</v>
      </c>
    </row>
    <row r="69" spans="1:8">
      <c r="A69" s="107" t="s">
        <v>107</v>
      </c>
      <c r="B69" s="252"/>
      <c r="C69" s="108" t="s">
        <v>483</v>
      </c>
      <c r="D69" s="252"/>
      <c r="E69" s="121" t="s">
        <v>569</v>
      </c>
      <c r="F69" s="122" t="s">
        <v>584</v>
      </c>
      <c r="G69" s="127" t="s">
        <v>585</v>
      </c>
      <c r="H69" t="str">
        <f t="shared" ref="H69:H125" si="1">CONCATENATE(A69,".",C69,".",E69,".",G69)</f>
        <v>SI.AGST.DPRE.COM</v>
      </c>
    </row>
    <row r="70" spans="1:8">
      <c r="A70" s="107" t="s">
        <v>107</v>
      </c>
      <c r="B70" s="252"/>
      <c r="C70" s="108" t="s">
        <v>483</v>
      </c>
      <c r="D70" s="252"/>
      <c r="E70" s="121" t="s">
        <v>569</v>
      </c>
      <c r="F70" s="122" t="s">
        <v>586</v>
      </c>
      <c r="G70" s="127" t="s">
        <v>587</v>
      </c>
      <c r="H70" t="str">
        <f t="shared" si="1"/>
        <v>SI.AGST.DPRE.GIR</v>
      </c>
    </row>
    <row r="71" spans="1:8">
      <c r="A71" s="107" t="s">
        <v>107</v>
      </c>
      <c r="B71" s="252"/>
      <c r="C71" s="108" t="s">
        <v>483</v>
      </c>
      <c r="D71" s="252"/>
      <c r="E71" s="121" t="s">
        <v>569</v>
      </c>
      <c r="F71" s="122" t="s">
        <v>588</v>
      </c>
      <c r="G71" s="127" t="s">
        <v>489</v>
      </c>
      <c r="H71" t="str">
        <f t="shared" si="1"/>
        <v>SI.AGST.DPRE.DSR</v>
      </c>
    </row>
    <row r="72" spans="1:8">
      <c r="A72" s="107" t="s">
        <v>107</v>
      </c>
      <c r="B72" s="252"/>
      <c r="C72" s="108" t="s">
        <v>483</v>
      </c>
      <c r="D72" s="252"/>
      <c r="E72" s="121" t="s">
        <v>569</v>
      </c>
      <c r="F72" s="122" t="s">
        <v>589</v>
      </c>
      <c r="G72" s="127" t="s">
        <v>590</v>
      </c>
      <c r="H72" t="str">
        <f t="shared" si="1"/>
        <v>SI.AGST.DPRE.EXP</v>
      </c>
    </row>
    <row r="73" spans="1:8">
      <c r="A73" s="107" t="s">
        <v>107</v>
      </c>
      <c r="B73" s="252"/>
      <c r="C73" s="108" t="s">
        <v>483</v>
      </c>
      <c r="D73" s="252"/>
      <c r="E73" s="121" t="s">
        <v>569</v>
      </c>
      <c r="F73" s="122" t="s">
        <v>591</v>
      </c>
      <c r="G73" s="127" t="s">
        <v>592</v>
      </c>
      <c r="H73" t="str">
        <f t="shared" si="1"/>
        <v>SI.AGST.DPRE.TER</v>
      </c>
    </row>
    <row r="74" spans="1:8">
      <c r="A74" s="107" t="s">
        <v>107</v>
      </c>
      <c r="B74" s="252"/>
      <c r="C74" s="108" t="s">
        <v>483</v>
      </c>
      <c r="D74" s="252"/>
      <c r="E74" s="121" t="s">
        <v>569</v>
      </c>
      <c r="F74" s="122" t="s">
        <v>593</v>
      </c>
      <c r="G74" s="127" t="s">
        <v>594</v>
      </c>
      <c r="H74" t="str">
        <f t="shared" si="1"/>
        <v>SI.AGST.DPRE.HCC</v>
      </c>
    </row>
    <row r="75" spans="1:8">
      <c r="A75" s="107" t="s">
        <v>107</v>
      </c>
      <c r="B75" s="252"/>
      <c r="C75" s="108" t="s">
        <v>483</v>
      </c>
      <c r="D75" s="252"/>
      <c r="E75" s="121" t="s">
        <v>569</v>
      </c>
      <c r="F75" s="122" t="s">
        <v>595</v>
      </c>
      <c r="G75" s="127" t="s">
        <v>596</v>
      </c>
      <c r="H75" t="str">
        <f t="shared" si="1"/>
        <v>SI.AGST.DPRE.GJU</v>
      </c>
    </row>
    <row r="76" spans="1:8">
      <c r="A76" s="107" t="s">
        <v>107</v>
      </c>
      <c r="B76" s="252"/>
      <c r="C76" s="108" t="s">
        <v>483</v>
      </c>
      <c r="D76" s="252"/>
      <c r="E76" s="121" t="s">
        <v>569</v>
      </c>
      <c r="F76" s="122" t="s">
        <v>597</v>
      </c>
      <c r="G76" s="127" t="s">
        <v>598</v>
      </c>
      <c r="H76" t="str">
        <f t="shared" si="1"/>
        <v>SI.AGST.DPRE.CGO</v>
      </c>
    </row>
    <row r="77" spans="1:8">
      <c r="A77" s="107" t="s">
        <v>107</v>
      </c>
      <c r="B77" s="252"/>
      <c r="C77" s="108" t="s">
        <v>483</v>
      </c>
      <c r="D77" s="252"/>
      <c r="E77" s="121" t="s">
        <v>569</v>
      </c>
      <c r="F77" s="122" t="s">
        <v>599</v>
      </c>
      <c r="G77" s="127" t="s">
        <v>519</v>
      </c>
      <c r="H77" t="str">
        <f t="shared" si="1"/>
        <v>SI.AGST.DPRE.GOV</v>
      </c>
    </row>
    <row r="78" spans="1:8">
      <c r="A78" s="107" t="s">
        <v>107</v>
      </c>
      <c r="B78" s="252"/>
      <c r="C78" s="108" t="s">
        <v>483</v>
      </c>
      <c r="D78" s="252"/>
      <c r="E78" s="121" t="s">
        <v>569</v>
      </c>
      <c r="F78" s="122" t="s">
        <v>600</v>
      </c>
      <c r="G78" s="127" t="s">
        <v>601</v>
      </c>
      <c r="H78" t="str">
        <f t="shared" si="1"/>
        <v>SI.AGST.DPRE.PER</v>
      </c>
    </row>
    <row r="79" spans="1:8">
      <c r="A79" s="107" t="s">
        <v>107</v>
      </c>
      <c r="B79" s="252"/>
      <c r="C79" s="108" t="s">
        <v>483</v>
      </c>
      <c r="D79" s="252"/>
      <c r="E79" s="121" t="s">
        <v>569</v>
      </c>
      <c r="F79" s="122" t="s">
        <v>602</v>
      </c>
      <c r="G79" s="127" t="s">
        <v>517</v>
      </c>
      <c r="H79" t="str">
        <f t="shared" si="1"/>
        <v>SI.AGST.DPRE.SGO</v>
      </c>
    </row>
    <row r="80" spans="1:8">
      <c r="A80" s="107" t="s">
        <v>107</v>
      </c>
      <c r="B80" s="252"/>
      <c r="C80" s="108" t="s">
        <v>483</v>
      </c>
      <c r="D80" s="252"/>
      <c r="E80" s="121" t="s">
        <v>569</v>
      </c>
      <c r="F80" s="122" t="s">
        <v>603</v>
      </c>
      <c r="G80" s="127" t="s">
        <v>604</v>
      </c>
      <c r="H80" t="str">
        <f t="shared" si="1"/>
        <v>SI.AGST.DPRE.CDS</v>
      </c>
    </row>
    <row r="81" spans="1:8">
      <c r="A81" s="107" t="s">
        <v>107</v>
      </c>
      <c r="B81" s="252"/>
      <c r="C81" s="108" t="s">
        <v>483</v>
      </c>
      <c r="D81" s="252"/>
      <c r="E81" s="121" t="s">
        <v>569</v>
      </c>
      <c r="F81" s="122" t="s">
        <v>605</v>
      </c>
      <c r="G81" s="127" t="s">
        <v>606</v>
      </c>
      <c r="H81" t="str">
        <f t="shared" si="1"/>
        <v>SI.AGST.DPRE.PCM</v>
      </c>
    </row>
    <row r="82" spans="1:8">
      <c r="A82" s="107" t="s">
        <v>107</v>
      </c>
      <c r="B82" s="252"/>
      <c r="C82" s="108" t="s">
        <v>483</v>
      </c>
      <c r="D82" s="252"/>
      <c r="E82" s="121" t="s">
        <v>569</v>
      </c>
      <c r="F82" s="122" t="s">
        <v>607</v>
      </c>
      <c r="G82" s="127" t="s">
        <v>608</v>
      </c>
      <c r="H82" t="str">
        <f t="shared" si="1"/>
        <v>SI.AGST.DPRE.RCC</v>
      </c>
    </row>
    <row r="83" spans="1:8">
      <c r="A83" s="107" t="s">
        <v>107</v>
      </c>
      <c r="B83" s="252"/>
      <c r="C83" s="108" t="s">
        <v>483</v>
      </c>
      <c r="D83" s="252"/>
      <c r="E83" s="121" t="s">
        <v>569</v>
      </c>
      <c r="F83" s="122" t="s">
        <v>609</v>
      </c>
      <c r="G83" s="127" t="s">
        <v>610</v>
      </c>
      <c r="H83" t="str">
        <f t="shared" si="1"/>
        <v>SI.AGST.DPRE.ACD</v>
      </c>
    </row>
    <row r="84" spans="1:8">
      <c r="A84" s="107" t="s">
        <v>107</v>
      </c>
      <c r="B84" s="252"/>
      <c r="C84" s="108" t="s">
        <v>483</v>
      </c>
      <c r="D84" s="252"/>
      <c r="E84" s="121" t="s">
        <v>569</v>
      </c>
      <c r="F84" s="122" t="s">
        <v>611</v>
      </c>
      <c r="G84" s="127" t="s">
        <v>612</v>
      </c>
      <c r="H84" t="str">
        <f t="shared" si="1"/>
        <v>SI.AGST.DPRE.ACM</v>
      </c>
    </row>
    <row r="85" spans="1:8">
      <c r="A85" s="107" t="s">
        <v>107</v>
      </c>
      <c r="B85" s="252"/>
      <c r="C85" s="108" t="s">
        <v>483</v>
      </c>
      <c r="D85" s="251"/>
      <c r="E85" s="110" t="s">
        <v>569</v>
      </c>
      <c r="F85" s="111" t="s">
        <v>613</v>
      </c>
      <c r="G85" s="128" t="s">
        <v>614</v>
      </c>
      <c r="H85" t="str">
        <f t="shared" si="1"/>
        <v>SI.AGST.DPRE.DOG</v>
      </c>
    </row>
    <row r="86" spans="1:8">
      <c r="A86" s="107" t="s">
        <v>107</v>
      </c>
      <c r="B86" s="252"/>
      <c r="C86" s="108" t="s">
        <v>483</v>
      </c>
      <c r="D86" s="250" t="s">
        <v>615</v>
      </c>
      <c r="E86" s="113" t="s">
        <v>616</v>
      </c>
      <c r="F86" s="114" t="s">
        <v>617</v>
      </c>
      <c r="G86" s="126" t="s">
        <v>618</v>
      </c>
      <c r="H86" t="str">
        <f t="shared" si="1"/>
        <v>SI.AGST.DAAM.RAM</v>
      </c>
    </row>
    <row r="87" spans="1:8">
      <c r="A87" s="107" t="s">
        <v>107</v>
      </c>
      <c r="B87" s="252"/>
      <c r="C87" s="108" t="s">
        <v>483</v>
      </c>
      <c r="D87" s="252"/>
      <c r="E87" s="121" t="s">
        <v>616</v>
      </c>
      <c r="F87" s="122" t="s">
        <v>619</v>
      </c>
      <c r="G87" s="127" t="s">
        <v>620</v>
      </c>
      <c r="H87" t="str">
        <f t="shared" si="1"/>
        <v>SI.AGST.DAAM.DRU</v>
      </c>
    </row>
    <row r="88" spans="1:8">
      <c r="A88" s="107" t="s">
        <v>107</v>
      </c>
      <c r="B88" s="252"/>
      <c r="C88" s="108" t="s">
        <v>483</v>
      </c>
      <c r="D88" s="252"/>
      <c r="E88" s="121" t="s">
        <v>616</v>
      </c>
      <c r="F88" s="122" t="s">
        <v>621</v>
      </c>
      <c r="G88" s="127" t="s">
        <v>622</v>
      </c>
      <c r="H88" t="str">
        <f t="shared" si="1"/>
        <v>SI.AGST.DAAM.IPM</v>
      </c>
    </row>
    <row r="89" spans="1:8">
      <c r="A89" s="107" t="s">
        <v>107</v>
      </c>
      <c r="B89" s="252"/>
      <c r="C89" s="108" t="s">
        <v>483</v>
      </c>
      <c r="D89" s="251"/>
      <c r="E89" s="110" t="s">
        <v>616</v>
      </c>
      <c r="F89" s="111" t="s">
        <v>623</v>
      </c>
      <c r="G89" s="128" t="s">
        <v>487</v>
      </c>
      <c r="H89" t="str">
        <f t="shared" si="1"/>
        <v>SI.AGST.DAAM.SGR</v>
      </c>
    </row>
    <row r="90" spans="1:8">
      <c r="A90" s="107" t="s">
        <v>107</v>
      </c>
      <c r="B90" s="252"/>
      <c r="C90" s="108" t="s">
        <v>483</v>
      </c>
      <c r="D90" s="250" t="s">
        <v>624</v>
      </c>
      <c r="E90" s="113" t="s">
        <v>625</v>
      </c>
      <c r="F90" s="114" t="s">
        <v>626</v>
      </c>
      <c r="G90" s="126" t="s">
        <v>537</v>
      </c>
      <c r="H90" t="str">
        <f t="shared" si="1"/>
        <v>SI.AGST.DBSF.ICA</v>
      </c>
    </row>
    <row r="91" spans="1:8">
      <c r="A91" s="107" t="s">
        <v>107</v>
      </c>
      <c r="B91" s="252"/>
      <c r="C91" s="108" t="s">
        <v>483</v>
      </c>
      <c r="D91" s="252"/>
      <c r="E91" s="121" t="s">
        <v>625</v>
      </c>
      <c r="F91" s="122" t="s">
        <v>627</v>
      </c>
      <c r="G91" s="127" t="s">
        <v>585</v>
      </c>
      <c r="H91" t="str">
        <f t="shared" si="1"/>
        <v>SI.AGST.DBSF.COM</v>
      </c>
    </row>
    <row r="92" spans="1:8">
      <c r="A92" s="107" t="s">
        <v>107</v>
      </c>
      <c r="B92" s="252"/>
      <c r="C92" s="108" t="s">
        <v>483</v>
      </c>
      <c r="D92" s="252"/>
      <c r="E92" s="121" t="s">
        <v>625</v>
      </c>
      <c r="F92" s="122" t="s">
        <v>628</v>
      </c>
      <c r="G92" s="127" t="s">
        <v>535</v>
      </c>
      <c r="H92" t="str">
        <f t="shared" si="1"/>
        <v>SI.AGST.DBSF.ACC</v>
      </c>
    </row>
    <row r="93" spans="1:8">
      <c r="A93" s="107" t="s">
        <v>107</v>
      </c>
      <c r="B93" s="252"/>
      <c r="C93" s="108" t="s">
        <v>483</v>
      </c>
      <c r="D93" s="252"/>
      <c r="E93" s="121" t="s">
        <v>625</v>
      </c>
      <c r="F93" s="122" t="s">
        <v>629</v>
      </c>
      <c r="G93" s="127" t="s">
        <v>630</v>
      </c>
      <c r="H93" t="str">
        <f t="shared" si="1"/>
        <v>SI.AGST.DBSF.INF</v>
      </c>
    </row>
    <row r="94" spans="1:8">
      <c r="A94" s="107" t="s">
        <v>107</v>
      </c>
      <c r="B94" s="252"/>
      <c r="C94" s="108" t="s">
        <v>483</v>
      </c>
      <c r="D94" s="252"/>
      <c r="E94" s="121" t="s">
        <v>625</v>
      </c>
      <c r="F94" s="122" t="s">
        <v>631</v>
      </c>
      <c r="G94" s="127" t="s">
        <v>632</v>
      </c>
      <c r="H94" t="str">
        <f t="shared" si="1"/>
        <v>SI.AGST.DBSF.IMM</v>
      </c>
    </row>
    <row r="95" spans="1:8">
      <c r="A95" s="107" t="s">
        <v>107</v>
      </c>
      <c r="B95" s="252"/>
      <c r="C95" s="108" t="s">
        <v>483</v>
      </c>
      <c r="D95" s="252"/>
      <c r="E95" s="121" t="s">
        <v>625</v>
      </c>
      <c r="F95" s="122" t="s">
        <v>633</v>
      </c>
      <c r="G95" s="127" t="s">
        <v>634</v>
      </c>
      <c r="H95" t="str">
        <f t="shared" si="1"/>
        <v>SI.AGST.DBSF.JOV</v>
      </c>
    </row>
    <row r="96" spans="1:8">
      <c r="A96" s="107" t="s">
        <v>107</v>
      </c>
      <c r="B96" s="252"/>
      <c r="C96" s="108" t="s">
        <v>483</v>
      </c>
      <c r="D96" s="252"/>
      <c r="E96" s="121" t="s">
        <v>625</v>
      </c>
      <c r="F96" s="122" t="s">
        <v>635</v>
      </c>
      <c r="G96" s="127" t="s">
        <v>636</v>
      </c>
      <c r="H96" t="str">
        <f t="shared" si="1"/>
        <v>SI.AGST.DBSF.FAM</v>
      </c>
    </row>
    <row r="97" spans="1:8">
      <c r="A97" s="107" t="s">
        <v>107</v>
      </c>
      <c r="B97" s="252"/>
      <c r="C97" s="108" t="s">
        <v>483</v>
      </c>
      <c r="D97" s="252"/>
      <c r="E97" s="121" t="s">
        <v>625</v>
      </c>
      <c r="F97" s="122" t="s">
        <v>637</v>
      </c>
      <c r="G97" s="127" t="s">
        <v>487</v>
      </c>
      <c r="H97" t="str">
        <f t="shared" si="1"/>
        <v>SI.AGST.DBSF.SGR</v>
      </c>
    </row>
    <row r="98" spans="1:8">
      <c r="A98" s="107" t="s">
        <v>107</v>
      </c>
      <c r="B98" s="252"/>
      <c r="C98" s="108" t="s">
        <v>483</v>
      </c>
      <c r="D98" s="251"/>
      <c r="E98" s="110" t="s">
        <v>625</v>
      </c>
      <c r="F98" s="111" t="s">
        <v>638</v>
      </c>
      <c r="G98" s="128" t="s">
        <v>489</v>
      </c>
      <c r="H98" t="str">
        <f t="shared" si="1"/>
        <v>SI.AGST.DBSF.DSR</v>
      </c>
    </row>
    <row r="99" spans="1:8">
      <c r="A99" s="107" t="s">
        <v>107</v>
      </c>
      <c r="B99" s="252"/>
      <c r="C99" s="108" t="s">
        <v>483</v>
      </c>
      <c r="D99" s="250" t="s">
        <v>639</v>
      </c>
      <c r="E99" s="113" t="s">
        <v>640</v>
      </c>
      <c r="F99" s="114" t="s">
        <v>641</v>
      </c>
      <c r="G99" s="126" t="s">
        <v>642</v>
      </c>
      <c r="H99" t="str">
        <f t="shared" si="1"/>
        <v>SI.AGST.DECO.TEC</v>
      </c>
    </row>
    <row r="100" spans="1:8">
      <c r="A100" s="107" t="s">
        <v>107</v>
      </c>
      <c r="B100" s="252"/>
      <c r="C100" s="108" t="s">
        <v>483</v>
      </c>
      <c r="D100" s="252"/>
      <c r="E100" s="121" t="s">
        <v>640</v>
      </c>
      <c r="F100" s="122" t="s">
        <v>643</v>
      </c>
      <c r="G100" s="127" t="s">
        <v>644</v>
      </c>
      <c r="H100" t="str">
        <f t="shared" si="1"/>
        <v>SI.AGST.DECO.EFA</v>
      </c>
    </row>
    <row r="101" spans="1:8">
      <c r="A101" s="107" t="s">
        <v>107</v>
      </c>
      <c r="B101" s="252"/>
      <c r="C101" s="108" t="s">
        <v>483</v>
      </c>
      <c r="D101" s="252"/>
      <c r="E101" s="121" t="s">
        <v>640</v>
      </c>
      <c r="F101" s="122" t="s">
        <v>645</v>
      </c>
      <c r="G101" s="127" t="s">
        <v>646</v>
      </c>
      <c r="H101" t="str">
        <f t="shared" si="1"/>
        <v>SI.AGST.DECO.PAT</v>
      </c>
    </row>
    <row r="102" spans="1:8">
      <c r="A102" s="107" t="s">
        <v>107</v>
      </c>
      <c r="B102" s="252"/>
      <c r="C102" s="108" t="s">
        <v>483</v>
      </c>
      <c r="D102" s="252"/>
      <c r="E102" s="121" t="s">
        <v>640</v>
      </c>
      <c r="F102" s="122" t="s">
        <v>647</v>
      </c>
      <c r="G102" s="127" t="s">
        <v>648</v>
      </c>
      <c r="H102" t="str">
        <f t="shared" si="1"/>
        <v>SI.AGST.DECO.JOC</v>
      </c>
    </row>
    <row r="103" spans="1:8">
      <c r="A103" s="107" t="s">
        <v>107</v>
      </c>
      <c r="B103" s="252"/>
      <c r="C103" s="108" t="s">
        <v>483</v>
      </c>
      <c r="D103" s="252"/>
      <c r="E103" s="121" t="s">
        <v>640</v>
      </c>
      <c r="F103" s="122" t="s">
        <v>649</v>
      </c>
      <c r="G103" s="127" t="s">
        <v>650</v>
      </c>
      <c r="H103" t="str">
        <f t="shared" si="1"/>
        <v>SI.AGST.DECO.RST</v>
      </c>
    </row>
    <row r="104" spans="1:8">
      <c r="A104" s="107" t="s">
        <v>107</v>
      </c>
      <c r="B104" s="252"/>
      <c r="C104" s="108" t="s">
        <v>483</v>
      </c>
      <c r="D104" s="252"/>
      <c r="E104" s="121" t="s">
        <v>640</v>
      </c>
      <c r="F104" s="122" t="s">
        <v>651</v>
      </c>
      <c r="G104" s="127" t="s">
        <v>652</v>
      </c>
      <c r="H104" t="str">
        <f t="shared" si="1"/>
        <v>SI.AGST.DECO.ATC</v>
      </c>
    </row>
    <row r="105" spans="1:8">
      <c r="A105" s="107" t="s">
        <v>107</v>
      </c>
      <c r="B105" s="252"/>
      <c r="C105" s="108" t="s">
        <v>483</v>
      </c>
      <c r="D105" s="251"/>
      <c r="E105" s="110" t="s">
        <v>640</v>
      </c>
      <c r="F105" s="111" t="s">
        <v>653</v>
      </c>
      <c r="G105" s="128" t="s">
        <v>654</v>
      </c>
      <c r="H105" t="str">
        <f t="shared" si="1"/>
        <v>SI.AGST.DECO.SUR</v>
      </c>
    </row>
    <row r="106" spans="1:8">
      <c r="A106" s="107" t="s">
        <v>107</v>
      </c>
      <c r="B106" s="252"/>
      <c r="C106" s="108" t="s">
        <v>483</v>
      </c>
      <c r="D106" s="250" t="s">
        <v>655</v>
      </c>
      <c r="E106" s="113" t="s">
        <v>656</v>
      </c>
      <c r="F106" s="114" t="s">
        <v>657</v>
      </c>
      <c r="G106" s="126" t="s">
        <v>443</v>
      </c>
      <c r="H106" t="str">
        <f t="shared" si="1"/>
        <v>SI.AGST.DGRI.RHH</v>
      </c>
    </row>
    <row r="107" spans="1:8">
      <c r="A107" s="107" t="s">
        <v>107</v>
      </c>
      <c r="B107" s="252"/>
      <c r="C107" s="108" t="s">
        <v>483</v>
      </c>
      <c r="D107" s="252"/>
      <c r="E107" s="121" t="s">
        <v>656</v>
      </c>
      <c r="F107" s="122" t="s">
        <v>658</v>
      </c>
      <c r="G107" s="127" t="s">
        <v>659</v>
      </c>
      <c r="H107" t="str">
        <f t="shared" si="1"/>
        <v>SI.AGST.DGRI.LOC</v>
      </c>
    </row>
    <row r="108" spans="1:8">
      <c r="A108" s="107" t="s">
        <v>107</v>
      </c>
      <c r="B108" s="252"/>
      <c r="C108" s="108" t="s">
        <v>483</v>
      </c>
      <c r="D108" s="252"/>
      <c r="E108" s="121" t="s">
        <v>656</v>
      </c>
      <c r="F108" s="122" t="s">
        <v>660</v>
      </c>
      <c r="G108" s="127" t="s">
        <v>661</v>
      </c>
      <c r="H108" t="str">
        <f t="shared" si="1"/>
        <v>SI.AGST.DGRI.EAP</v>
      </c>
    </row>
    <row r="109" spans="1:8">
      <c r="A109" s="107" t="s">
        <v>107</v>
      </c>
      <c r="B109" s="252"/>
      <c r="C109" s="108" t="s">
        <v>483</v>
      </c>
      <c r="D109" s="252"/>
      <c r="E109" s="121" t="s">
        <v>656</v>
      </c>
      <c r="F109" s="122" t="s">
        <v>662</v>
      </c>
      <c r="G109" s="127" t="s">
        <v>663</v>
      </c>
      <c r="H109" t="str">
        <f t="shared" si="1"/>
        <v>SI.AGST.DGRI.ELC</v>
      </c>
    </row>
    <row r="110" spans="1:8">
      <c r="A110" s="107" t="s">
        <v>107</v>
      </c>
      <c r="B110" s="252"/>
      <c r="C110" s="108" t="s">
        <v>483</v>
      </c>
      <c r="D110" s="251"/>
      <c r="E110" s="110" t="s">
        <v>656</v>
      </c>
      <c r="F110" s="111" t="s">
        <v>664</v>
      </c>
      <c r="G110" s="128" t="s">
        <v>650</v>
      </c>
      <c r="H110" t="str">
        <f t="shared" si="1"/>
        <v>SI.AGST.DGRI.RST</v>
      </c>
    </row>
    <row r="111" spans="1:8">
      <c r="A111" s="107" t="s">
        <v>107</v>
      </c>
      <c r="B111" s="252"/>
      <c r="C111" s="108" t="s">
        <v>483</v>
      </c>
      <c r="D111" s="247" t="s">
        <v>665</v>
      </c>
      <c r="E111" s="113" t="s">
        <v>666</v>
      </c>
      <c r="F111" s="114" t="s">
        <v>667</v>
      </c>
      <c r="G111" s="126" t="s">
        <v>668</v>
      </c>
      <c r="H111" t="str">
        <f t="shared" si="1"/>
        <v>SI.AGST.DENS.ALU</v>
      </c>
    </row>
    <row r="112" spans="1:8">
      <c r="A112" s="107" t="s">
        <v>107</v>
      </c>
      <c r="B112" s="252"/>
      <c r="C112" s="108" t="s">
        <v>483</v>
      </c>
      <c r="D112" s="248"/>
      <c r="E112" s="121" t="s">
        <v>666</v>
      </c>
      <c r="F112" s="122" t="s">
        <v>669</v>
      </c>
      <c r="G112" s="127" t="s">
        <v>447</v>
      </c>
      <c r="H112" t="str">
        <f t="shared" si="1"/>
        <v>SI.AGST.DENS.CTR</v>
      </c>
    </row>
    <row r="113" spans="1:8">
      <c r="A113" s="107" t="s">
        <v>107</v>
      </c>
      <c r="B113" s="252"/>
      <c r="C113" s="108" t="s">
        <v>483</v>
      </c>
      <c r="D113" s="248"/>
      <c r="E113" s="121" t="s">
        <v>666</v>
      </c>
      <c r="F113" s="122" t="s">
        <v>670</v>
      </c>
      <c r="G113" s="127" t="s">
        <v>585</v>
      </c>
      <c r="H113" t="str">
        <f t="shared" si="1"/>
        <v>SI.AGST.DENS.COM</v>
      </c>
    </row>
    <row r="114" spans="1:8">
      <c r="A114" s="107" t="s">
        <v>107</v>
      </c>
      <c r="B114" s="252"/>
      <c r="C114" s="108" t="s">
        <v>483</v>
      </c>
      <c r="D114" s="248"/>
      <c r="E114" s="121" t="s">
        <v>666</v>
      </c>
      <c r="F114" s="122" t="s">
        <v>671</v>
      </c>
      <c r="G114" s="127" t="s">
        <v>44</v>
      </c>
      <c r="H114" t="str">
        <f t="shared" si="1"/>
        <v>SI.AGST.DENS.INT</v>
      </c>
    </row>
    <row r="115" spans="1:8">
      <c r="A115" s="107" t="s">
        <v>107</v>
      </c>
      <c r="B115" s="252"/>
      <c r="C115" s="108" t="s">
        <v>483</v>
      </c>
      <c r="D115" s="248"/>
      <c r="E115" s="121" t="s">
        <v>666</v>
      </c>
      <c r="F115" s="122" t="s">
        <v>672</v>
      </c>
      <c r="G115" s="127" t="s">
        <v>673</v>
      </c>
      <c r="H115" t="str">
        <f t="shared" si="1"/>
        <v>SI.AGST.DENS.PRF</v>
      </c>
    </row>
    <row r="116" spans="1:8">
      <c r="A116" s="107" t="s">
        <v>107</v>
      </c>
      <c r="B116" s="252"/>
      <c r="C116" s="108" t="s">
        <v>483</v>
      </c>
      <c r="D116" s="249"/>
      <c r="E116" s="110" t="s">
        <v>666</v>
      </c>
      <c r="F116" s="111" t="s">
        <v>674</v>
      </c>
      <c r="G116" s="128" t="s">
        <v>675</v>
      </c>
      <c r="H116" t="str">
        <f t="shared" si="1"/>
        <v>SI.AGST.DENS.TAC</v>
      </c>
    </row>
    <row r="117" spans="1:8">
      <c r="A117" s="107" t="s">
        <v>107</v>
      </c>
      <c r="B117" s="252"/>
      <c r="C117" s="108" t="s">
        <v>483</v>
      </c>
      <c r="D117" s="247" t="s">
        <v>676</v>
      </c>
      <c r="E117" s="113" t="s">
        <v>677</v>
      </c>
      <c r="F117" s="114" t="s">
        <v>678</v>
      </c>
      <c r="G117" s="126" t="s">
        <v>679</v>
      </c>
      <c r="H117" t="str">
        <f t="shared" si="1"/>
        <v>SI.AGST.DINT.SCE</v>
      </c>
    </row>
    <row r="118" spans="1:8">
      <c r="A118" s="107" t="s">
        <v>107</v>
      </c>
      <c r="B118" s="252"/>
      <c r="C118" s="108" t="s">
        <v>483</v>
      </c>
      <c r="D118" s="248"/>
      <c r="E118" s="121" t="s">
        <v>677</v>
      </c>
      <c r="F118" s="122" t="s">
        <v>680</v>
      </c>
      <c r="G118" s="127" t="s">
        <v>681</v>
      </c>
      <c r="H118" t="str">
        <f t="shared" si="1"/>
        <v>SI.AGST.DINT.DGP</v>
      </c>
    </row>
    <row r="119" spans="1:8">
      <c r="A119" s="107" t="s">
        <v>107</v>
      </c>
      <c r="B119" s="252"/>
      <c r="C119" s="108" t="s">
        <v>483</v>
      </c>
      <c r="D119" s="249"/>
      <c r="E119" s="110" t="s">
        <v>677</v>
      </c>
      <c r="F119" s="111" t="s">
        <v>682</v>
      </c>
      <c r="G119" s="128" t="s">
        <v>683</v>
      </c>
      <c r="H119" t="str">
        <f t="shared" si="1"/>
        <v>SI.AGST.DINT.SCT</v>
      </c>
    </row>
    <row r="120" spans="1:8">
      <c r="A120" s="107" t="s">
        <v>107</v>
      </c>
      <c r="B120" s="252"/>
      <c r="C120" s="108" t="s">
        <v>483</v>
      </c>
      <c r="D120" s="247" t="s">
        <v>684</v>
      </c>
      <c r="E120" s="113" t="s">
        <v>685</v>
      </c>
      <c r="F120" s="129" t="s">
        <v>686</v>
      </c>
      <c r="G120" s="126" t="s">
        <v>567</v>
      </c>
      <c r="H120" t="str">
        <f t="shared" si="1"/>
        <v>SI.AGST.DSLT.GRL</v>
      </c>
    </row>
    <row r="121" spans="1:8">
      <c r="A121" s="107" t="s">
        <v>107</v>
      </c>
      <c r="B121" s="252"/>
      <c r="C121" s="108" t="s">
        <v>483</v>
      </c>
      <c r="D121" s="248"/>
      <c r="E121" s="121" t="s">
        <v>685</v>
      </c>
      <c r="F121" s="130" t="s">
        <v>687</v>
      </c>
      <c r="G121" s="127" t="s">
        <v>688</v>
      </c>
      <c r="H121" t="str">
        <f t="shared" si="1"/>
        <v>SI.AGST.DSLT.ALT</v>
      </c>
    </row>
    <row r="122" spans="1:8">
      <c r="A122" s="107" t="s">
        <v>107</v>
      </c>
      <c r="B122" s="252"/>
      <c r="C122" s="108" t="s">
        <v>483</v>
      </c>
      <c r="D122" s="248"/>
      <c r="E122" s="121" t="s">
        <v>685</v>
      </c>
      <c r="F122" s="130" t="s">
        <v>689</v>
      </c>
      <c r="G122" s="127" t="s">
        <v>690</v>
      </c>
      <c r="H122" t="str">
        <f t="shared" si="1"/>
        <v>SI.AGST.DSLT.ARG</v>
      </c>
    </row>
    <row r="123" spans="1:8">
      <c r="A123" s="107" t="s">
        <v>107</v>
      </c>
      <c r="B123" s="252"/>
      <c r="C123" s="108" t="s">
        <v>483</v>
      </c>
      <c r="D123" s="248"/>
      <c r="E123" s="121" t="s">
        <v>685</v>
      </c>
      <c r="F123" s="130" t="s">
        <v>691</v>
      </c>
      <c r="G123" s="127" t="s">
        <v>692</v>
      </c>
      <c r="H123" t="str">
        <f t="shared" si="1"/>
        <v>SI.AGST.DSLT.ECP</v>
      </c>
    </row>
    <row r="124" spans="1:8">
      <c r="A124" s="107" t="s">
        <v>107</v>
      </c>
      <c r="B124" s="252"/>
      <c r="C124" s="108" t="s">
        <v>483</v>
      </c>
      <c r="D124" s="248"/>
      <c r="E124" s="121" t="s">
        <v>685</v>
      </c>
      <c r="F124" s="130" t="s">
        <v>693</v>
      </c>
      <c r="G124" s="127" t="s">
        <v>694</v>
      </c>
      <c r="H124" t="str">
        <f t="shared" si="1"/>
        <v>SI.AGST.DSLT.EFC</v>
      </c>
    </row>
    <row r="125" spans="1:8">
      <c r="A125" s="131" t="s">
        <v>107</v>
      </c>
      <c r="B125" s="251"/>
      <c r="C125" s="108" t="s">
        <v>483</v>
      </c>
      <c r="D125" s="249"/>
      <c r="E125" s="110" t="s">
        <v>685</v>
      </c>
      <c r="F125" s="132" t="s">
        <v>695</v>
      </c>
      <c r="G125" s="128" t="s">
        <v>537</v>
      </c>
      <c r="H125" t="str">
        <f t="shared" si="1"/>
        <v>SI.AGST.DSLT.ICA</v>
      </c>
    </row>
  </sheetData>
  <mergeCells count="17">
    <mergeCell ref="D111:D116"/>
    <mergeCell ref="D117:D119"/>
    <mergeCell ref="B2:B21"/>
    <mergeCell ref="D3:D4"/>
    <mergeCell ref="D6:D7"/>
    <mergeCell ref="D12:D21"/>
    <mergeCell ref="B22:B125"/>
    <mergeCell ref="D22:D34"/>
    <mergeCell ref="D35:D47"/>
    <mergeCell ref="D49:D55"/>
    <mergeCell ref="D56:D60"/>
    <mergeCell ref="D61:D85"/>
    <mergeCell ref="D120:D125"/>
    <mergeCell ref="D86:D89"/>
    <mergeCell ref="D90:D98"/>
    <mergeCell ref="D99:D105"/>
    <mergeCell ref="D106:D110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pageSetUpPr fitToPage="1"/>
  </sheetPr>
  <dimension ref="A1:J19"/>
  <sheetViews>
    <sheetView showGridLines="0" zoomScale="85" zoomScaleNormal="85" workbookViewId="0">
      <selection activeCell="G3" sqref="G3:G5"/>
    </sheetView>
  </sheetViews>
  <sheetFormatPr baseColWidth="10" defaultColWidth="9.140625" defaultRowHeight="14.25"/>
  <cols>
    <col min="1" max="1" width="7.7109375" style="171" customWidth="1"/>
    <col min="2" max="2" width="15.28515625" style="171" customWidth="1"/>
    <col min="3" max="3" width="30.7109375" style="171" customWidth="1"/>
    <col min="4" max="4" width="68.5703125" style="171" customWidth="1"/>
    <col min="5" max="5" width="7" style="171" customWidth="1"/>
    <col min="6" max="6" width="13" style="171" customWidth="1"/>
    <col min="7" max="7" width="14.5703125" style="171" customWidth="1"/>
    <col min="8" max="8" width="33.28515625" style="171" customWidth="1"/>
    <col min="9" max="9" width="10" style="171" customWidth="1"/>
    <col min="10" max="10" width="7" style="171" customWidth="1"/>
    <col min="11" max="16384" width="9.140625" style="171"/>
  </cols>
  <sheetData>
    <row r="1" spans="1:10" ht="15" customHeight="1">
      <c r="A1" s="255" t="s">
        <v>798</v>
      </c>
      <c r="B1" s="256"/>
      <c r="C1" s="168" t="str">
        <f>'Caracterització v.3.0.1'!K15</f>
        <v>Codi diàleg</v>
      </c>
      <c r="D1" s="257" t="s">
        <v>799</v>
      </c>
      <c r="E1" s="169"/>
      <c r="F1" s="170"/>
    </row>
    <row r="2" spans="1:10" ht="15" customHeight="1">
      <c r="A2" s="255" t="s">
        <v>800</v>
      </c>
      <c r="B2" s="256"/>
      <c r="C2" s="168" t="str">
        <f>IF('Caracterització v.3.0.1'!C17:G17=0, "Nom",'Caracterització v.3.0.1'!C17:G17)</f>
        <v>Nom</v>
      </c>
      <c r="D2" s="257"/>
      <c r="E2" s="258" t="s">
        <v>801</v>
      </c>
      <c r="F2" s="258"/>
      <c r="G2" s="259" t="e">
        <f>INDEX([3]!Taula_Mapeig_Valor_NAQ[NAQ recomanat],MATCH('NAQ Solució'!I13,[3]!Taula_Mapeig_Valor_NAQ[Sel·lecció  del valor final del NAQ]))</f>
        <v>#REF!</v>
      </c>
      <c r="H2" s="259"/>
    </row>
    <row r="3" spans="1:10" ht="15" customHeight="1">
      <c r="A3" s="255" t="s">
        <v>802</v>
      </c>
      <c r="B3" s="256"/>
      <c r="C3" s="168" t="str">
        <f>IF('Caracterització v.3.0.1'!C5:J5=0, "Unitat",'Caracterització v.3.0.1'!C5:J5)</f>
        <v>Unitat</v>
      </c>
      <c r="D3" s="257"/>
      <c r="E3" s="260" t="s">
        <v>803</v>
      </c>
      <c r="F3" s="260"/>
      <c r="G3" s="262" t="s">
        <v>97</v>
      </c>
      <c r="H3" s="264" t="s">
        <v>804</v>
      </c>
    </row>
    <row r="4" spans="1:10" ht="15" customHeight="1">
      <c r="A4" s="255" t="s">
        <v>805</v>
      </c>
      <c r="B4" s="256"/>
      <c r="C4" s="168" t="str">
        <f>IF(Peticionari!C3=0,"Peticionari",Peticionari!C3)</f>
        <v>Peticionari</v>
      </c>
      <c r="D4" s="257"/>
      <c r="E4" s="260"/>
      <c r="F4" s="260"/>
      <c r="G4" s="263"/>
      <c r="H4" s="265"/>
    </row>
    <row r="5" spans="1:10" ht="15" customHeight="1">
      <c r="A5" s="266" t="s">
        <v>806</v>
      </c>
      <c r="B5" s="267"/>
      <c r="C5" s="172"/>
      <c r="D5" s="257"/>
      <c r="E5" s="261"/>
      <c r="F5" s="261"/>
      <c r="G5" s="263"/>
      <c r="H5" s="265"/>
    </row>
    <row r="6" spans="1:10" ht="28.5">
      <c r="A6" s="173" t="s">
        <v>807</v>
      </c>
      <c r="B6" s="173" t="s">
        <v>808</v>
      </c>
      <c r="C6" s="173" t="s">
        <v>809</v>
      </c>
      <c r="D6" s="173" t="s">
        <v>810</v>
      </c>
      <c r="E6" s="173" t="s">
        <v>811</v>
      </c>
      <c r="F6" s="174" t="s">
        <v>812</v>
      </c>
      <c r="G6" s="175" t="s">
        <v>813</v>
      </c>
      <c r="H6" s="175" t="s">
        <v>814</v>
      </c>
      <c r="I6" s="176" t="s">
        <v>815</v>
      </c>
      <c r="J6" s="177" t="s">
        <v>816</v>
      </c>
    </row>
    <row r="7" spans="1:10" s="185" customFormat="1" ht="140.25" customHeight="1">
      <c r="A7" s="178" t="s">
        <v>817</v>
      </c>
      <c r="B7" s="179" t="s">
        <v>818</v>
      </c>
      <c r="C7" s="179" t="s">
        <v>819</v>
      </c>
      <c r="D7" s="179" t="s">
        <v>820</v>
      </c>
      <c r="E7" s="180">
        <v>8</v>
      </c>
      <c r="F7" s="180">
        <v>1</v>
      </c>
      <c r="G7" s="181">
        <v>1</v>
      </c>
      <c r="H7" s="182"/>
      <c r="I7" s="183">
        <f>Taula_NAQ[[#This Row],[Valor
assignat]]*Taula_NAQ[[#This Row],[Pes]]/SUM(Taula_NAQ[Pes])</f>
        <v>0.33333333333333331</v>
      </c>
      <c r="J7" s="184">
        <f>Taula_NAQ[[#This Row],[Valor
assignat]]*Taula_NAQ[[#This Row],[Determinant?]]</f>
        <v>1</v>
      </c>
    </row>
    <row r="8" spans="1:10" s="185" customFormat="1" ht="137.25" customHeight="1">
      <c r="A8" s="178" t="s">
        <v>821</v>
      </c>
      <c r="B8" s="179" t="s">
        <v>822</v>
      </c>
      <c r="C8" s="186" t="s">
        <v>823</v>
      </c>
      <c r="D8" s="186" t="s">
        <v>824</v>
      </c>
      <c r="E8" s="180">
        <v>4</v>
      </c>
      <c r="F8" s="180">
        <v>0</v>
      </c>
      <c r="G8" s="181">
        <v>1</v>
      </c>
      <c r="H8" s="182"/>
      <c r="I8" s="183">
        <f>Taula_NAQ[[#This Row],[Valor
assignat]]*Taula_NAQ[[#This Row],[Pes]]/SUM(Taula_NAQ[Pes])</f>
        <v>0.16666666666666666</v>
      </c>
      <c r="J8" s="184">
        <f>Taula_NAQ[[#This Row],[Valor
assignat]]*Taula_NAQ[[#This Row],[Determinant?]]</f>
        <v>0</v>
      </c>
    </row>
    <row r="9" spans="1:10" s="187" customFormat="1" ht="114" customHeight="1">
      <c r="A9" s="178" t="s">
        <v>825</v>
      </c>
      <c r="B9" s="179" t="s">
        <v>826</v>
      </c>
      <c r="C9" s="179" t="s">
        <v>827</v>
      </c>
      <c r="D9" s="179" t="s">
        <v>828</v>
      </c>
      <c r="E9" s="180">
        <v>4</v>
      </c>
      <c r="F9" s="180">
        <v>0</v>
      </c>
      <c r="G9" s="181">
        <v>1</v>
      </c>
      <c r="H9" s="182"/>
      <c r="I9" s="183">
        <f>Taula_NAQ[[#This Row],[Valor
assignat]]*Taula_NAQ[[#This Row],[Pes]]/SUM(Taula_NAQ[Pes])</f>
        <v>0.16666666666666666</v>
      </c>
      <c r="J9" s="184">
        <f>Taula_NAQ[[#This Row],[Valor
assignat]]*Taula_NAQ[[#This Row],[Determinant?]]</f>
        <v>0</v>
      </c>
    </row>
    <row r="10" spans="1:10" s="185" customFormat="1" ht="132" customHeight="1">
      <c r="A10" s="178" t="s">
        <v>829</v>
      </c>
      <c r="B10" s="179" t="s">
        <v>830</v>
      </c>
      <c r="C10" s="179" t="s">
        <v>831</v>
      </c>
      <c r="D10" s="186" t="s">
        <v>832</v>
      </c>
      <c r="E10" s="180">
        <v>4</v>
      </c>
      <c r="F10" s="180">
        <v>0</v>
      </c>
      <c r="G10" s="181">
        <v>1</v>
      </c>
      <c r="H10" s="182"/>
      <c r="I10" s="183">
        <f>Taula_NAQ[[#This Row],[Valor
assignat]]*Taula_NAQ[[#This Row],[Pes]]/SUM(Taula_NAQ[Pes])</f>
        <v>0.16666666666666666</v>
      </c>
      <c r="J10" s="184">
        <f>Taula_NAQ[[#This Row],[Valor
assignat]]*Taula_NAQ[[#This Row],[Determinant?]]</f>
        <v>0</v>
      </c>
    </row>
    <row r="11" spans="1:10" s="185" customFormat="1" ht="72" customHeight="1">
      <c r="A11" s="178" t="s">
        <v>833</v>
      </c>
      <c r="B11" s="179" t="s">
        <v>834</v>
      </c>
      <c r="C11" s="179" t="s">
        <v>835</v>
      </c>
      <c r="D11" s="186" t="s">
        <v>836</v>
      </c>
      <c r="E11" s="180">
        <v>2</v>
      </c>
      <c r="F11" s="180">
        <v>0</v>
      </c>
      <c r="G11" s="181">
        <v>3</v>
      </c>
      <c r="H11" s="182"/>
      <c r="I11" s="183">
        <f>Taula_NAQ[[#This Row],[Valor
assignat]]*Taula_NAQ[[#This Row],[Pes]]/SUM(Taula_NAQ[Pes])</f>
        <v>0.25</v>
      </c>
      <c r="J11" s="184">
        <f>Taula_NAQ[[#This Row],[Valor
assignat]]*Taula_NAQ[[#This Row],[Determinant?]]</f>
        <v>0</v>
      </c>
    </row>
    <row r="12" spans="1:10" ht="72.75" customHeight="1" thickBot="1">
      <c r="A12" s="188" t="s">
        <v>837</v>
      </c>
      <c r="B12" s="189" t="s">
        <v>838</v>
      </c>
      <c r="C12" s="189" t="s">
        <v>839</v>
      </c>
      <c r="D12" s="190" t="s">
        <v>840</v>
      </c>
      <c r="E12" s="191">
        <v>2</v>
      </c>
      <c r="F12" s="191">
        <v>0</v>
      </c>
      <c r="G12" s="181">
        <v>3</v>
      </c>
      <c r="H12" s="192"/>
      <c r="I12" s="193">
        <f>Taula_NAQ[[#This Row],[Valor
assignat]]*Taula_NAQ[[#This Row],[Pes]]/SUM(Taula_NAQ[Pes])</f>
        <v>0.25</v>
      </c>
      <c r="J12" s="194">
        <f>Taula_NAQ[[#This Row],[Valor
assignat]]*Taula_NAQ[[#This Row],[Determinant?]]</f>
        <v>0</v>
      </c>
    </row>
    <row r="13" spans="1:10" ht="15.75" thickBot="1">
      <c r="A13" s="195"/>
      <c r="B13" s="195"/>
      <c r="C13" s="195"/>
      <c r="D13" s="196"/>
      <c r="E13" s="197"/>
      <c r="F13" s="198"/>
      <c r="G13" s="198"/>
      <c r="H13" s="198"/>
      <c r="I13" s="199">
        <f>MAX(SUM(Taula_NAQ[Valor Ponderat]),Taula_NAQ[Valor Mínim])</f>
        <v>1.3333333333333333</v>
      </c>
      <c r="J13" s="200"/>
    </row>
    <row r="14" spans="1:10" ht="15" thickTop="1"/>
    <row r="15" spans="1:10" ht="15">
      <c r="A15" s="201" t="s">
        <v>841</v>
      </c>
    </row>
    <row r="16" spans="1:10" ht="42" customHeight="1">
      <c r="B16" s="202" t="s">
        <v>842</v>
      </c>
      <c r="C16" s="203"/>
      <c r="D16" s="204"/>
    </row>
    <row r="17" spans="2:4" ht="42" customHeight="1">
      <c r="B17" s="205"/>
      <c r="C17" s="206"/>
      <c r="D17" s="207"/>
    </row>
    <row r="18" spans="2:4" ht="42" customHeight="1">
      <c r="B18" s="208"/>
      <c r="C18" s="206"/>
      <c r="D18" s="207"/>
    </row>
    <row r="19" spans="2:4" ht="42" customHeight="1">
      <c r="B19" s="209"/>
      <c r="C19" s="210"/>
      <c r="D19" s="211"/>
    </row>
  </sheetData>
  <sheetProtection password="D625" sheet="1" objects="1" scenarios="1" formatCells="0" formatColumns="0" formatRows="0" insertColumns="0" insertRows="0" insertHyperlinks="0" deleteColumns="0" deleteRows="0"/>
  <mergeCells count="11">
    <mergeCell ref="A1:B1"/>
    <mergeCell ref="D1:D5"/>
    <mergeCell ref="A2:B2"/>
    <mergeCell ref="E2:F2"/>
    <mergeCell ref="G2:H2"/>
    <mergeCell ref="A3:B3"/>
    <mergeCell ref="E3:F5"/>
    <mergeCell ref="G3:G5"/>
    <mergeCell ref="H3:H5"/>
    <mergeCell ref="A4:B4"/>
    <mergeCell ref="A5:B5"/>
  </mergeCells>
  <dataValidations count="3">
    <dataValidation type="list" allowBlank="1" showInputMessage="1" showErrorMessage="1" errorTitle="Valors" error="Els valors han de ser enters, des de 0 a 4." sqref="G7:G12">
      <formula1>"0,1,2,3,4"</formula1>
    </dataValidation>
    <dataValidation errorStyle="information" allowBlank="1" showInputMessage="1" showErrorMessage="1" errorTitle="Valors" error="Els valors han de ser enters, de 0 fins a 4." sqref="H7"/>
    <dataValidation type="list" allowBlank="1" showInputMessage="1" showErrorMessage="1" sqref="G3">
      <formula1>"Alt,Mig,Baix"</formula1>
    </dataValidation>
  </dataValidations>
  <pageMargins left="1.2" right="0.70866141732283472" top="0.49" bottom="0.16" header="0.31496062992125984" footer="0.17"/>
  <pageSetup paperSize="9" scale="56" orientation="landscape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T2"/>
  <sheetViews>
    <sheetView workbookViewId="0">
      <selection activeCell="F2" sqref="F2"/>
    </sheetView>
  </sheetViews>
  <sheetFormatPr baseColWidth="10" defaultColWidth="11.42578125" defaultRowHeight="15"/>
  <sheetData>
    <row r="1" spans="1:98" ht="153">
      <c r="A1" s="155" t="s">
        <v>749</v>
      </c>
      <c r="B1" s="155" t="s">
        <v>750</v>
      </c>
      <c r="C1" s="146" t="s">
        <v>276</v>
      </c>
      <c r="D1" s="146" t="s">
        <v>277</v>
      </c>
      <c r="E1" s="146" t="s">
        <v>0</v>
      </c>
      <c r="F1" s="155" t="s">
        <v>278</v>
      </c>
      <c r="G1" s="146" t="s">
        <v>279</v>
      </c>
      <c r="H1" s="155" t="s">
        <v>280</v>
      </c>
      <c r="I1" s="146" t="s">
        <v>7</v>
      </c>
      <c r="J1" s="155" t="s">
        <v>283</v>
      </c>
      <c r="K1" s="155" t="s">
        <v>297</v>
      </c>
      <c r="L1" s="146" t="s">
        <v>293</v>
      </c>
      <c r="M1" s="146" t="s">
        <v>344</v>
      </c>
      <c r="N1" s="146" t="s">
        <v>751</v>
      </c>
      <c r="O1" s="146" t="s">
        <v>284</v>
      </c>
      <c r="P1" s="146" t="s">
        <v>285</v>
      </c>
      <c r="Q1" s="146" t="s">
        <v>137</v>
      </c>
      <c r="R1" s="146" t="s">
        <v>286</v>
      </c>
      <c r="S1" s="146" t="s">
        <v>287</v>
      </c>
      <c r="T1" s="146" t="s">
        <v>288</v>
      </c>
      <c r="U1" s="146" t="s">
        <v>11</v>
      </c>
      <c r="V1" s="155" t="s">
        <v>12</v>
      </c>
      <c r="W1" s="146" t="s">
        <v>289</v>
      </c>
      <c r="X1" s="148" t="s">
        <v>345</v>
      </c>
      <c r="Y1" s="146" t="s">
        <v>323</v>
      </c>
      <c r="Z1" s="155" t="s">
        <v>338</v>
      </c>
      <c r="AA1" s="149" t="s">
        <v>348</v>
      </c>
      <c r="AB1" s="147" t="s">
        <v>347</v>
      </c>
      <c r="AC1" s="147" t="s">
        <v>346</v>
      </c>
      <c r="AD1" s="146" t="s">
        <v>290</v>
      </c>
      <c r="AE1" s="146" t="s">
        <v>291</v>
      </c>
      <c r="AF1" s="146" t="s">
        <v>752</v>
      </c>
      <c r="AG1" s="146" t="s">
        <v>753</v>
      </c>
      <c r="AH1" s="146" t="s">
        <v>754</v>
      </c>
      <c r="AI1" s="146" t="s">
        <v>755</v>
      </c>
      <c r="AJ1" s="146" t="s">
        <v>756</v>
      </c>
      <c r="AK1" s="146" t="s">
        <v>757</v>
      </c>
      <c r="AL1" s="159" t="s">
        <v>294</v>
      </c>
      <c r="AM1" s="146" t="s">
        <v>292</v>
      </c>
      <c r="AN1" s="146" t="s">
        <v>414</v>
      </c>
      <c r="AO1" s="155" t="s">
        <v>296</v>
      </c>
      <c r="AP1" s="146" t="s">
        <v>16</v>
      </c>
      <c r="AQ1" s="155" t="s">
        <v>313</v>
      </c>
      <c r="AR1" s="146" t="s">
        <v>314</v>
      </c>
      <c r="AS1" s="146" t="s">
        <v>315</v>
      </c>
      <c r="AT1" s="146" t="s">
        <v>316</v>
      </c>
      <c r="AU1" s="146" t="s">
        <v>20</v>
      </c>
      <c r="AV1" s="146" t="s">
        <v>317</v>
      </c>
      <c r="AW1" s="155" t="s">
        <v>319</v>
      </c>
      <c r="AX1" s="146" t="s">
        <v>320</v>
      </c>
      <c r="AY1" s="146" t="s">
        <v>321</v>
      </c>
      <c r="AZ1" s="146" t="s">
        <v>322</v>
      </c>
      <c r="BA1" s="146" t="s">
        <v>25</v>
      </c>
      <c r="BB1" s="155" t="s">
        <v>26</v>
      </c>
      <c r="BC1" s="146" t="s">
        <v>27</v>
      </c>
      <c r="BD1" s="154" t="s">
        <v>758</v>
      </c>
      <c r="BE1" s="160" t="s">
        <v>759</v>
      </c>
      <c r="BF1" s="160" t="s">
        <v>760</v>
      </c>
      <c r="BG1" s="160" t="s">
        <v>761</v>
      </c>
      <c r="BH1" s="162" t="s">
        <v>604</v>
      </c>
      <c r="BI1" s="165" t="s">
        <v>762</v>
      </c>
      <c r="BJ1" s="161" t="s">
        <v>405</v>
      </c>
      <c r="BK1" s="163" t="s">
        <v>763</v>
      </c>
      <c r="BL1" s="162" t="s">
        <v>764</v>
      </c>
      <c r="BM1" s="165" t="s">
        <v>762</v>
      </c>
      <c r="BN1" s="161" t="s">
        <v>405</v>
      </c>
      <c r="BO1" s="163" t="s">
        <v>763</v>
      </c>
      <c r="BP1" s="162" t="s">
        <v>765</v>
      </c>
      <c r="BQ1" s="165" t="s">
        <v>762</v>
      </c>
      <c r="BR1" s="161" t="s">
        <v>405</v>
      </c>
      <c r="BS1" s="163" t="s">
        <v>763</v>
      </c>
      <c r="BT1" s="162" t="s">
        <v>766</v>
      </c>
      <c r="BU1" s="165" t="s">
        <v>762</v>
      </c>
      <c r="BV1" s="161" t="s">
        <v>405</v>
      </c>
      <c r="BW1" s="163" t="s">
        <v>763</v>
      </c>
      <c r="BX1" s="162" t="s">
        <v>767</v>
      </c>
      <c r="BY1" s="165" t="s">
        <v>762</v>
      </c>
      <c r="BZ1" s="161" t="s">
        <v>405</v>
      </c>
      <c r="CA1" s="163" t="s">
        <v>763</v>
      </c>
      <c r="CB1" s="162" t="s">
        <v>768</v>
      </c>
      <c r="CC1" s="165" t="s">
        <v>762</v>
      </c>
      <c r="CD1" s="161" t="s">
        <v>405</v>
      </c>
      <c r="CE1" s="163" t="s">
        <v>763</v>
      </c>
      <c r="CF1" s="164" t="s">
        <v>769</v>
      </c>
      <c r="CG1" s="164" t="s">
        <v>770</v>
      </c>
      <c r="CH1" s="164" t="s">
        <v>405</v>
      </c>
      <c r="CI1" s="164" t="s">
        <v>406</v>
      </c>
      <c r="CJ1" s="157" t="s">
        <v>771</v>
      </c>
      <c r="CK1" s="158" t="s">
        <v>772</v>
      </c>
      <c r="CL1" s="156" t="s">
        <v>773</v>
      </c>
      <c r="CM1" s="150" t="s">
        <v>352</v>
      </c>
      <c r="CN1" s="150" t="s">
        <v>353</v>
      </c>
      <c r="CO1" s="150" t="s">
        <v>354</v>
      </c>
      <c r="CP1" s="151" t="s">
        <v>774</v>
      </c>
      <c r="CQ1" s="151" t="s">
        <v>775</v>
      </c>
      <c r="CR1" s="151" t="s">
        <v>776</v>
      </c>
      <c r="CS1" s="151" t="s">
        <v>777</v>
      </c>
      <c r="CT1" s="152" t="s">
        <v>363</v>
      </c>
    </row>
    <row r="2" spans="1:98">
      <c r="C2" t="str">
        <f>'Caracterització v.3.0.1'!K15</f>
        <v>Codi diàleg</v>
      </c>
      <c r="D2" t="str">
        <f>IF('Caracterització v.3.0.1'!C3=0," ",'Caracterització v.3.0.1'!C3)</f>
        <v>EMO</v>
      </c>
      <c r="E2" t="str">
        <f>'Caracterització v.3.0.1'!E3</f>
        <v>Departament d'Empresa i Ocupació</v>
      </c>
      <c r="F2" s="144"/>
      <c r="G2" t="str">
        <f>IF('Caracterització v.3.0.1'!C5=0," ",'Caracterització v.3.0.1'!C5)</f>
        <v xml:space="preserve"> </v>
      </c>
      <c r="H2" s="145" t="str">
        <f>IF('Caracterització v.3.0.1'!C17=0," ",'Caracterització v.3.0.1'!C17)</f>
        <v xml:space="preserve"> </v>
      </c>
      <c r="I2" s="145" t="str">
        <f>IF('Caracterització v.3.0.1'!K17=0," ",'Caracterització v.3.0.1'!K17)</f>
        <v xml:space="preserve"> </v>
      </c>
      <c r="J2" s="145" t="str">
        <f>IF('Caracterització v.3.0.1'!C20=0," ",'Caracterització v.3.0.1'!C20)</f>
        <v xml:space="preserve"> </v>
      </c>
      <c r="K2" s="153">
        <f>'Caracterització v.3.0.1'!C9</f>
        <v>0</v>
      </c>
      <c r="L2" s="144"/>
      <c r="M2" s="145" t="str">
        <f>IF('Caracterització v.3.0.1'!J112=0," ",'Caracterització v.3.0.1'!J112)</f>
        <v xml:space="preserve"> </v>
      </c>
      <c r="N2" s="145" t="str">
        <f>IF('Caracterització v.3.0.1'!K110=0," ",'Caracterització v.3.0.1'!K110)</f>
        <v xml:space="preserve"> </v>
      </c>
      <c r="O2" s="145" t="str">
        <f>IF('Caracterització v.3.0.1'!C48=0," ",'Caracterització v.3.0.1'!C48)</f>
        <v xml:space="preserve"> </v>
      </c>
      <c r="P2" s="144"/>
      <c r="Q2" s="145" t="str">
        <f>IF('Caracterització v.3.0.1'!C37=0," ",'Caracterització v.3.0.1'!C37)</f>
        <v xml:space="preserve"> </v>
      </c>
      <c r="R2" s="145" t="str">
        <f>IF('Caracterització v.3.0.1'!C39=0," ",'Caracterització v.3.0.1'!C39)</f>
        <v xml:space="preserve"> </v>
      </c>
      <c r="S2" s="145" t="str">
        <f>IF('Caracterització v.3.0.1'!K39=0," ",'Caracterització v.3.0.1'!K39)</f>
        <v xml:space="preserve"> </v>
      </c>
      <c r="T2" s="145" t="str">
        <f>IF('Caracterització v.3.0.1'!C41=0," ",'Caracterització v.3.0.1'!C41)</f>
        <v xml:space="preserve"> </v>
      </c>
      <c r="U2" s="145" t="str">
        <f>IF('Caracterització v.3.0.1'!K41=0," ",'Caracterització v.3.0.1'!K41)</f>
        <v xml:space="preserve"> </v>
      </c>
      <c r="V2" s="145" t="str">
        <f>IF('Caracterització v.3.0.1'!C43=0," ",'Caracterització v.3.0.1'!C43)</f>
        <v xml:space="preserve"> </v>
      </c>
      <c r="W2" s="145" t="str">
        <f>IF('Caracterització v.3.0.1'!K43=0," ",'Caracterització v.3.0.1'!K43)</f>
        <v xml:space="preserve"> </v>
      </c>
      <c r="X2" s="145" t="str">
        <f>IF('Caracterització v.3.0.1'!C46=0," ",'Caracterització v.3.0.1'!C46)</f>
        <v xml:space="preserve"> </v>
      </c>
      <c r="Y2" t="str">
        <f>'Caracterització v.3.0.1'!F46</f>
        <v/>
      </c>
      <c r="Z2" t="str">
        <f>'Caracterització v.3.0.1'!E51</f>
        <v>Departament</v>
      </c>
      <c r="AA2" t="str">
        <f>'Caracterització v.3.0.1'!E50</f>
        <v/>
      </c>
      <c r="AB2" s="145" t="str">
        <f>IF('Caracterització v.3.0.1'!K50=0," ",'Caracterització v.3.0.1'!K50)</f>
        <v xml:space="preserve"> </v>
      </c>
      <c r="AC2" s="145" t="str">
        <f>IF('Caracterització v.3.0.1'!K53=0," ",'Caracterització v.3.0.1'!K53)</f>
        <v/>
      </c>
      <c r="AD2" s="145" t="str">
        <f>IF('Caracterització v.3.0.1'!C63=0," ",'Caracterització v.3.0.1'!C63)</f>
        <v xml:space="preserve"> </v>
      </c>
      <c r="AE2" s="145" t="str">
        <f>IF('Caracterització v.3.0.1'!K63=0," ",'Caracterització v.3.0.1'!K63)</f>
        <v xml:space="preserve"> </v>
      </c>
      <c r="AF2" s="145" t="str">
        <f>IF('Caracterització v.3.0.1'!C65=0," ",'Caracterització v.3.0.1'!C65)</f>
        <v xml:space="preserve"> </v>
      </c>
      <c r="AG2" s="145" t="str">
        <f>IF('Caracterització v.3.0.1'!K65=0," ",'Caracterització v.3.0.1'!K65)</f>
        <v xml:space="preserve"> </v>
      </c>
      <c r="AH2" s="145" t="str">
        <f>IF('Caracterització v.3.0.1'!C67=0," ",'Caracterització v.3.0.1'!C67)</f>
        <v xml:space="preserve"> </v>
      </c>
      <c r="AI2" s="145" t="str">
        <f>IF('Caracterització v.3.0.1'!K67=0," ",'Caracterització v.3.0.1'!K67)</f>
        <v xml:space="preserve"> </v>
      </c>
      <c r="AJ2" s="145" t="str">
        <f>IF('Caracterització v.3.0.1'!C69=0," ",'Caracterització v.3.0.1'!C69)</f>
        <v xml:space="preserve"> </v>
      </c>
      <c r="AK2" s="145" t="str">
        <f>IF('Caracterització v.3.0.1'!K69=0," ",'Caracterització v.3.0.1'!K69)</f>
        <v xml:space="preserve"> </v>
      </c>
      <c r="AL2" s="145" t="str">
        <f>IF('Caracterització v.3.0.1'!C71=0," ",'Caracterització v.3.0.1'!C71)</f>
        <v xml:space="preserve"> </v>
      </c>
      <c r="AM2" s="145" t="str">
        <f>IF('Caracterització v.3.0.1'!E116=0," ",'Caracterització v.3.0.1'!E116)</f>
        <v xml:space="preserve"> </v>
      </c>
      <c r="AN2" s="145" t="str">
        <f>IF('Caracterització v.3.0.1'!E118=0," ",'Caracterització v.3.0.1'!E118)</f>
        <v xml:space="preserve"> </v>
      </c>
      <c r="AO2" s="145" t="str">
        <f>IF('Caracterització v.3.0.1'!C22=0," ",'Caracterització v.3.0.1'!C22)</f>
        <v xml:space="preserve"> </v>
      </c>
      <c r="AP2" s="145" t="str">
        <f>IF('Caracterització v.3.0.1'!C24=0," ",'Caracterització v.3.0.1'!C24)</f>
        <v xml:space="preserve"> </v>
      </c>
      <c r="AQ2" s="145" t="str">
        <f>IF('Caracterització v.3.0.1'!C26=0," ",'Caracterització v.3.0.1'!C26)</f>
        <v xml:space="preserve"> </v>
      </c>
      <c r="AR2" s="145" t="str">
        <f>IF('Caracterització v.3.0.1'!K26=0," ",'Caracterització v.3.0.1'!K26)</f>
        <v xml:space="preserve"> </v>
      </c>
      <c r="AS2" s="145" t="str">
        <f>IF('Caracterització v.3.0.1'!C28=0," ",'Caracterització v.3.0.1'!C28)</f>
        <v xml:space="preserve"> </v>
      </c>
      <c r="AT2" s="145" t="str">
        <f>IF('Caracterització v.3.0.1'!K28=0," ",'Caracterització v.3.0.1'!K28)</f>
        <v xml:space="preserve"> </v>
      </c>
      <c r="AU2" s="145" t="str">
        <f>IF('Caracterització v.3.0.1'!K22=0," ",'Caracterització v.3.0.1'!K22)</f>
        <v xml:space="preserve"> </v>
      </c>
      <c r="AV2" s="145" t="str">
        <f>IF('Caracterització v.3.0.1'!K30=0," ",'Caracterització v.3.0.1'!K30)</f>
        <v xml:space="preserve"> </v>
      </c>
      <c r="AW2" s="145" t="str">
        <f>IF('Caracterització v.3.0.1'!C53=0," ",'Caracterització v.3.0.1'!C53)</f>
        <v xml:space="preserve"> </v>
      </c>
      <c r="AX2" s="145" t="str">
        <f>IF('Caracterització v.3.0.1'!C30=0," ",'Caracterització v.3.0.1'!C30)</f>
        <v xml:space="preserve"> </v>
      </c>
      <c r="AY2" t="str">
        <f>'Caracterització v.3.0.1'!E30</f>
        <v/>
      </c>
      <c r="AZ2" s="145" t="str">
        <f>IF('Caracterització v.3.0.1'!C32=0," ",'Caracterització v.3.0.1'!C32)</f>
        <v xml:space="preserve"> </v>
      </c>
      <c r="BA2" s="145" t="str">
        <f>IF('Caracterització v.3.0.1'!C34=0," ",'Caracterització v.3.0.1'!C34)</f>
        <v xml:space="preserve"> </v>
      </c>
      <c r="BB2" s="145" t="str">
        <f>IF('Caracterització v.3.0.1'!K34=0," ",'Caracterització v.3.0.1'!K34)</f>
        <v xml:space="preserve"> </v>
      </c>
      <c r="BC2" s="145" t="str">
        <f>IF('Caracterització v.3.0.1'!K32=0," ",'Caracterització v.3.0.1'!K32)</f>
        <v xml:space="preserve"> </v>
      </c>
      <c r="BD2" s="145" t="str">
        <f>IF('Caracterització v.3.0.1'!C77=0," ",'Caracterització v.3.0.1'!C77)</f>
        <v xml:space="preserve"> </v>
      </c>
      <c r="BE2" s="145" t="str">
        <f>IF('Caracterització v.3.0.1'!C81=0," ",'Caracterització v.3.0.1'!C81)</f>
        <v xml:space="preserve"> </v>
      </c>
      <c r="BF2" s="145" t="str">
        <f>IF('Caracterització v.3.0.1'!K81=0," ",'Caracterització v.3.0.1'!K81)</f>
        <v xml:space="preserve"> </v>
      </c>
      <c r="BG2" s="145" t="str">
        <f>IF('Caracterització v.3.0.1'!C83=0," ",'Caracterització v.3.0.1'!C83)</f>
        <v xml:space="preserve"> </v>
      </c>
      <c r="BH2" s="144"/>
      <c r="BI2" s="144"/>
      <c r="BJ2" s="144"/>
      <c r="BK2" s="144"/>
      <c r="BL2" s="144"/>
      <c r="BM2" s="144"/>
      <c r="BN2" s="144"/>
      <c r="BO2" s="144"/>
      <c r="BP2" s="144"/>
      <c r="BQ2" s="144"/>
      <c r="BR2" s="144"/>
      <c r="BS2" s="144"/>
      <c r="BT2" s="144"/>
      <c r="BU2" s="144"/>
      <c r="BV2" s="144"/>
      <c r="BW2" s="144"/>
      <c r="BX2" s="144"/>
      <c r="BY2" s="144"/>
      <c r="BZ2" s="144"/>
      <c r="CA2" s="144"/>
      <c r="CB2" s="144"/>
      <c r="CC2" s="144"/>
      <c r="CD2" s="144"/>
      <c r="CE2" s="144"/>
      <c r="CF2" s="144"/>
      <c r="CG2" s="144"/>
      <c r="CH2" s="144"/>
      <c r="CI2" s="144"/>
      <c r="CJ2" s="144"/>
      <c r="CK2" s="144"/>
      <c r="CL2" s="144"/>
      <c r="CM2" t="s">
        <v>778</v>
      </c>
      <c r="CN2" s="145" t="s">
        <v>778</v>
      </c>
      <c r="CO2" s="145" t="s">
        <v>778</v>
      </c>
      <c r="CP2" s="145" t="str">
        <f>IF('Caracterització v.3.0.1'!I56=0," ",'Caracterització v.3.0.1'!I56)</f>
        <v xml:space="preserve"> </v>
      </c>
      <c r="CQ2" s="145" t="str">
        <f>IF('Caracterització v.3.0.1'!I58=0," ",'Caracterització v.3.0.1'!I58)</f>
        <v xml:space="preserve"> </v>
      </c>
      <c r="CR2" s="145" t="str">
        <f>IF('Caracterització v.3.0.1'!J56=0," ",'Caracterització v.3.0.1'!J56)</f>
        <v xml:space="preserve"> </v>
      </c>
      <c r="CS2" s="145" t="str">
        <f>IF('Caracterització v.3.0.1'!J58=0," ",'Caracterització v.3.0.1'!J58)</f>
        <v xml:space="preserve"> </v>
      </c>
      <c r="CT2" s="145" t="e">
        <f>IF('Caracterització v.3.0.1'!#REF!=0," ",'Caracterització v.3.0.1'!#REF!)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17</vt:i4>
      </vt:variant>
    </vt:vector>
  </HeadingPairs>
  <TitlesOfParts>
    <vt:vector size="25" baseType="lpstr">
      <vt:lpstr>Peticionari</vt:lpstr>
      <vt:lpstr>Caracterització v.3.0.1</vt:lpstr>
      <vt:lpstr>Valors</vt:lpstr>
      <vt:lpstr>Tarifes</vt:lpstr>
      <vt:lpstr>Fitxa x Inventari</vt:lpstr>
      <vt:lpstr>Catàleg de Solucions</vt:lpstr>
      <vt:lpstr>NAQ Solució</vt:lpstr>
      <vt:lpstr>Dades Inventari</vt:lpstr>
      <vt:lpstr>A·1</vt:lpstr>
      <vt:lpstr>A·10</vt:lpstr>
      <vt:lpstr>A·11</vt:lpstr>
      <vt:lpstr>A·2</vt:lpstr>
      <vt:lpstr>A·3</vt:lpstr>
      <vt:lpstr>A·4</vt:lpstr>
      <vt:lpstr>A·5</vt:lpstr>
      <vt:lpstr>A·6</vt:lpstr>
      <vt:lpstr>A·7</vt:lpstr>
      <vt:lpstr>A·8</vt:lpstr>
      <vt:lpstr>A·9</vt:lpstr>
      <vt:lpstr>Agrupacio_Funcional</vt:lpstr>
      <vt:lpstr>'Caracterització v.3.0.1'!Área_de_impresión</vt:lpstr>
      <vt:lpstr>'NAQ Solució'!Área_de_impresión</vt:lpstr>
      <vt:lpstr>Peticionari!Área_de_impresión</vt:lpstr>
      <vt:lpstr>Bloc</vt:lpstr>
      <vt:lpstr>Lot</vt:lpstr>
    </vt:vector>
  </TitlesOfParts>
  <Company>CTTI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Reyes Martínez, José Manuel</dc:creator>
  <cp:lastModifiedBy>asancho</cp:lastModifiedBy>
  <cp:lastPrinted>2014-01-13T14:03:28Z</cp:lastPrinted>
  <dcterms:created xsi:type="dcterms:W3CDTF">2013-02-28T11:21:18Z</dcterms:created>
  <dcterms:modified xsi:type="dcterms:W3CDTF">2014-04-30T07:56:38Z</dcterms:modified>
</cp:coreProperties>
</file>